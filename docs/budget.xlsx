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avie\Desktop\proyectos\IRBoard\docs\"/>
    </mc:Choice>
  </mc:AlternateContent>
  <xr:revisionPtr revIDLastSave="0" documentId="13_ncr:1_{732CD243-55F3-4275-8CFA-D458AF68E2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mpany definition" sheetId="2" r:id="rId1"/>
    <sheet name="Costs" sheetId="1" r:id="rId2"/>
    <sheet name="Final co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3" l="1"/>
  <c r="N3" i="3"/>
  <c r="N2" i="3"/>
  <c r="K75" i="3"/>
  <c r="K76" i="3" s="1"/>
  <c r="K76" i="1"/>
  <c r="E82" i="3"/>
  <c r="E81" i="3"/>
  <c r="E80" i="3"/>
  <c r="E79" i="3"/>
  <c r="E78" i="3"/>
  <c r="E77" i="3"/>
  <c r="H73" i="3"/>
  <c r="I73" i="3" s="1"/>
  <c r="J73" i="3" s="1"/>
  <c r="I72" i="3"/>
  <c r="J72" i="3" s="1"/>
  <c r="H72" i="3"/>
  <c r="H71" i="3"/>
  <c r="I71" i="3" s="1"/>
  <c r="J71" i="3" s="1"/>
  <c r="H70" i="3"/>
  <c r="I70" i="3" s="1"/>
  <c r="J70" i="3" s="1"/>
  <c r="H69" i="3"/>
  <c r="I69" i="3" s="1"/>
  <c r="J69" i="3" s="1"/>
  <c r="I68" i="3"/>
  <c r="J68" i="3" s="1"/>
  <c r="H68" i="3"/>
  <c r="H67" i="3"/>
  <c r="I67" i="3" s="1"/>
  <c r="J67" i="3" s="1"/>
  <c r="H66" i="3"/>
  <c r="I66" i="3" s="1"/>
  <c r="J66" i="3" s="1"/>
  <c r="H65" i="3"/>
  <c r="I65" i="3" s="1"/>
  <c r="J65" i="3" s="1"/>
  <c r="I64" i="3"/>
  <c r="J64" i="3" s="1"/>
  <c r="H64" i="3"/>
  <c r="H63" i="3"/>
  <c r="I63" i="3" s="1"/>
  <c r="J63" i="3" s="1"/>
  <c r="H62" i="3"/>
  <c r="I62" i="3" s="1"/>
  <c r="J62" i="3" s="1"/>
  <c r="H61" i="3"/>
  <c r="I61" i="3" s="1"/>
  <c r="I60" i="3"/>
  <c r="J60" i="3" s="1"/>
  <c r="H60" i="3"/>
  <c r="H59" i="3"/>
  <c r="I59" i="3" s="1"/>
  <c r="J59" i="3" s="1"/>
  <c r="H58" i="3"/>
  <c r="I58" i="3" s="1"/>
  <c r="J58" i="3" s="1"/>
  <c r="H57" i="3"/>
  <c r="I57" i="3" s="1"/>
  <c r="J57" i="3" s="1"/>
  <c r="I56" i="3"/>
  <c r="J56" i="3" s="1"/>
  <c r="H56" i="3"/>
  <c r="H55" i="3"/>
  <c r="I55" i="3" s="1"/>
  <c r="J55" i="3" s="1"/>
  <c r="H54" i="3"/>
  <c r="I54" i="3" s="1"/>
  <c r="J54" i="3" s="1"/>
  <c r="H53" i="3"/>
  <c r="I53" i="3" s="1"/>
  <c r="J53" i="3" s="1"/>
  <c r="I52" i="3"/>
  <c r="J52" i="3" s="1"/>
  <c r="H52" i="3"/>
  <c r="H51" i="3"/>
  <c r="I51" i="3" s="1"/>
  <c r="I50" i="3"/>
  <c r="H50" i="3"/>
  <c r="I49" i="3"/>
  <c r="H49" i="3"/>
  <c r="H48" i="3"/>
  <c r="I48" i="3" s="1"/>
  <c r="I47" i="3"/>
  <c r="H47" i="3"/>
  <c r="I46" i="3"/>
  <c r="H46" i="3"/>
  <c r="H45" i="3"/>
  <c r="I45" i="3" s="1"/>
  <c r="I44" i="3"/>
  <c r="H44" i="3"/>
  <c r="H43" i="3"/>
  <c r="I43" i="3" s="1"/>
  <c r="I42" i="3"/>
  <c r="J42" i="3" s="1"/>
  <c r="H42" i="3"/>
  <c r="I41" i="3"/>
  <c r="J41" i="3" s="1"/>
  <c r="H41" i="3"/>
  <c r="I40" i="3"/>
  <c r="H40" i="3"/>
  <c r="H39" i="3"/>
  <c r="I39" i="3" s="1"/>
  <c r="J39" i="3" s="1"/>
  <c r="K39" i="3" s="1"/>
  <c r="I38" i="3"/>
  <c r="J38" i="3" s="1"/>
  <c r="H38" i="3"/>
  <c r="H37" i="3"/>
  <c r="I37" i="3" s="1"/>
  <c r="J37" i="3" s="1"/>
  <c r="H36" i="3"/>
  <c r="I36" i="3" s="1"/>
  <c r="J36" i="3" s="1"/>
  <c r="H35" i="3"/>
  <c r="I35" i="3" s="1"/>
  <c r="J35" i="3" s="1"/>
  <c r="I34" i="3"/>
  <c r="J34" i="3" s="1"/>
  <c r="H34" i="3"/>
  <c r="H33" i="3"/>
  <c r="I33" i="3" s="1"/>
  <c r="J33" i="3" s="1"/>
  <c r="H32" i="3"/>
  <c r="I32" i="3" s="1"/>
  <c r="J32" i="3" s="1"/>
  <c r="H31" i="3"/>
  <c r="I31" i="3" s="1"/>
  <c r="I30" i="3"/>
  <c r="J30" i="3" s="1"/>
  <c r="H30" i="3"/>
  <c r="H29" i="3"/>
  <c r="I29" i="3" s="1"/>
  <c r="J29" i="3" s="1"/>
  <c r="H28" i="3"/>
  <c r="I28" i="3" s="1"/>
  <c r="J28" i="3" s="1"/>
  <c r="H27" i="3"/>
  <c r="I27" i="3" s="1"/>
  <c r="J27" i="3" s="1"/>
  <c r="H26" i="3"/>
  <c r="I26" i="3" s="1"/>
  <c r="J26" i="3" s="1"/>
  <c r="H25" i="3"/>
  <c r="I25" i="3" s="1"/>
  <c r="J25" i="3" s="1"/>
  <c r="H24" i="3"/>
  <c r="I24" i="3" s="1"/>
  <c r="J24" i="3" s="1"/>
  <c r="H23" i="3"/>
  <c r="I23" i="3" s="1"/>
  <c r="J23" i="3" s="1"/>
  <c r="H22" i="3"/>
  <c r="I22" i="3" s="1"/>
  <c r="J22" i="3" s="1"/>
  <c r="H21" i="3"/>
  <c r="I21" i="3" s="1"/>
  <c r="J21" i="3" s="1"/>
  <c r="H20" i="3"/>
  <c r="I20" i="3" s="1"/>
  <c r="H19" i="3"/>
  <c r="I19" i="3" s="1"/>
  <c r="H18" i="3"/>
  <c r="I18" i="3" s="1"/>
  <c r="H17" i="3"/>
  <c r="I17" i="3" s="1"/>
  <c r="I16" i="3"/>
  <c r="H16" i="3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J5" i="3" s="1"/>
  <c r="I4" i="3"/>
  <c r="J4" i="3" s="1"/>
  <c r="H4" i="3"/>
  <c r="H3" i="3"/>
  <c r="I3" i="3" s="1"/>
  <c r="J42" i="1"/>
  <c r="J57" i="1"/>
  <c r="J23" i="1"/>
  <c r="H20" i="1"/>
  <c r="I20" i="1" s="1"/>
  <c r="H31" i="1"/>
  <c r="I31" i="1" s="1"/>
  <c r="H33" i="1"/>
  <c r="I33" i="1" s="1"/>
  <c r="J33" i="1" s="1"/>
  <c r="H34" i="1"/>
  <c r="I34" i="1" s="1"/>
  <c r="J34" i="1" s="1"/>
  <c r="H40" i="1"/>
  <c r="I40" i="1" s="1"/>
  <c r="H43" i="1"/>
  <c r="I43" i="1" s="1"/>
  <c r="H45" i="1"/>
  <c r="I45" i="1" s="1"/>
  <c r="H51" i="1"/>
  <c r="I51" i="1" s="1"/>
  <c r="H57" i="1"/>
  <c r="I57" i="1" s="1"/>
  <c r="H61" i="1"/>
  <c r="I61" i="1" s="1"/>
  <c r="H64" i="1"/>
  <c r="I64" i="1" s="1"/>
  <c r="J64" i="1" s="1"/>
  <c r="H67" i="1"/>
  <c r="I67" i="1" s="1"/>
  <c r="J67" i="1" s="1"/>
  <c r="H69" i="1"/>
  <c r="I69" i="1" s="1"/>
  <c r="J69" i="1" s="1"/>
  <c r="H70" i="1"/>
  <c r="I70" i="1" s="1"/>
  <c r="J70" i="1" s="1"/>
  <c r="H3" i="1"/>
  <c r="I3" i="1" s="1"/>
  <c r="H7" i="1"/>
  <c r="I7" i="1" s="1"/>
  <c r="E82" i="1"/>
  <c r="H47" i="1" s="1"/>
  <c r="I47" i="1" s="1"/>
  <c r="E81" i="1"/>
  <c r="H35" i="1" s="1"/>
  <c r="I35" i="1" s="1"/>
  <c r="J35" i="1" s="1"/>
  <c r="E80" i="1"/>
  <c r="H42" i="1" s="1"/>
  <c r="I42" i="1" s="1"/>
  <c r="E78" i="1"/>
  <c r="H26" i="1" s="1"/>
  <c r="I26" i="1" s="1"/>
  <c r="J26" i="1" s="1"/>
  <c r="E79" i="1"/>
  <c r="H23" i="1" s="1"/>
  <c r="I23" i="1" s="1"/>
  <c r="E77" i="1"/>
  <c r="H4" i="1" s="1"/>
  <c r="I4" i="1" s="1"/>
  <c r="J4" i="1" s="1"/>
  <c r="E2" i="2"/>
  <c r="E11" i="2" s="1"/>
  <c r="E3" i="2"/>
  <c r="E4" i="2"/>
  <c r="E5" i="2"/>
  <c r="E6" i="2"/>
  <c r="E7" i="2"/>
  <c r="E8" i="2"/>
  <c r="E9" i="2"/>
  <c r="E10" i="2"/>
  <c r="B11" i="2"/>
  <c r="B15" i="2"/>
  <c r="D15" i="2"/>
  <c r="E15" i="2"/>
  <c r="F15" i="2" s="1"/>
  <c r="B16" i="2"/>
  <c r="B24" i="2" s="1"/>
  <c r="E16" i="2"/>
  <c r="B17" i="2"/>
  <c r="D17" i="2" s="1"/>
  <c r="E17" i="2"/>
  <c r="B18" i="2"/>
  <c r="D18" i="2"/>
  <c r="E18" i="2"/>
  <c r="F18" i="2" s="1"/>
  <c r="B19" i="2"/>
  <c r="D19" i="2" s="1"/>
  <c r="E19" i="2"/>
  <c r="B20" i="2"/>
  <c r="D20" i="2" s="1"/>
  <c r="E20" i="2"/>
  <c r="B21" i="2"/>
  <c r="D21" i="2"/>
  <c r="B87" i="2" s="1"/>
  <c r="E21" i="2"/>
  <c r="F21" i="2" s="1"/>
  <c r="B22" i="2"/>
  <c r="D22" i="2" s="1"/>
  <c r="E22" i="2"/>
  <c r="B23" i="2"/>
  <c r="D23" i="2" s="1"/>
  <c r="E23" i="2"/>
  <c r="C27" i="2"/>
  <c r="C28" i="2"/>
  <c r="C50" i="2" s="1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D53" i="2"/>
  <c r="E53" i="2"/>
  <c r="E61" i="2" s="1"/>
  <c r="D54" i="2"/>
  <c r="E54" i="2"/>
  <c r="D55" i="2"/>
  <c r="E55" i="2"/>
  <c r="D56" i="2"/>
  <c r="E56" i="2" s="1"/>
  <c r="D57" i="2"/>
  <c r="E57" i="2" s="1"/>
  <c r="D58" i="2"/>
  <c r="D61" i="2" s="1"/>
  <c r="E58" i="2"/>
  <c r="D59" i="2"/>
  <c r="E59" i="2"/>
  <c r="D60" i="2"/>
  <c r="E60" i="2"/>
  <c r="B64" i="2"/>
  <c r="E64" i="2"/>
  <c r="B65" i="2"/>
  <c r="D65" i="2" s="1"/>
  <c r="E65" i="2" s="1"/>
  <c r="B66" i="2"/>
  <c r="D66" i="2" s="1"/>
  <c r="E66" i="2" s="1"/>
  <c r="D83" i="2" s="1"/>
  <c r="B67" i="2"/>
  <c r="D67" i="2"/>
  <c r="E67" i="2"/>
  <c r="B68" i="2"/>
  <c r="D68" i="2" s="1"/>
  <c r="E68" i="2" s="1"/>
  <c r="D85" i="2" s="1"/>
  <c r="B69" i="2"/>
  <c r="D69" i="2" s="1"/>
  <c r="E69" i="2" s="1"/>
  <c r="D86" i="2" s="1"/>
  <c r="B70" i="2"/>
  <c r="D70" i="2" s="1"/>
  <c r="E70" i="2" s="1"/>
  <c r="D87" i="2" s="1"/>
  <c r="B71" i="2"/>
  <c r="D71" i="2"/>
  <c r="E71" i="2"/>
  <c r="B72" i="2"/>
  <c r="E72" i="2"/>
  <c r="B76" i="2"/>
  <c r="D81" i="2"/>
  <c r="D84" i="2"/>
  <c r="D88" i="2"/>
  <c r="D89" i="2"/>
  <c r="K61" i="3" l="1"/>
  <c r="J6" i="3"/>
  <c r="K3" i="3" s="1"/>
  <c r="J43" i="3"/>
  <c r="K40" i="3" s="1"/>
  <c r="K51" i="3"/>
  <c r="K20" i="3"/>
  <c r="K31" i="3"/>
  <c r="H32" i="1"/>
  <c r="I32" i="1" s="1"/>
  <c r="J32" i="1" s="1"/>
  <c r="H56" i="1"/>
  <c r="I56" i="1" s="1"/>
  <c r="J56" i="1" s="1"/>
  <c r="H29" i="1"/>
  <c r="I29" i="1" s="1"/>
  <c r="J29" i="1" s="1"/>
  <c r="H55" i="1"/>
  <c r="I55" i="1" s="1"/>
  <c r="J55" i="1" s="1"/>
  <c r="H22" i="1"/>
  <c r="I22" i="1" s="1"/>
  <c r="J22" i="1" s="1"/>
  <c r="H53" i="1"/>
  <c r="I53" i="1" s="1"/>
  <c r="J53" i="1" s="1"/>
  <c r="H10" i="1"/>
  <c r="I10" i="1" s="1"/>
  <c r="H9" i="1"/>
  <c r="I9" i="1" s="1"/>
  <c r="H52" i="1"/>
  <c r="I52" i="1" s="1"/>
  <c r="J52" i="1" s="1"/>
  <c r="H68" i="1"/>
  <c r="I68" i="1" s="1"/>
  <c r="J68" i="1" s="1"/>
  <c r="H46" i="1"/>
  <c r="I46" i="1" s="1"/>
  <c r="H21" i="1"/>
  <c r="I21" i="1" s="1"/>
  <c r="J21" i="1" s="1"/>
  <c r="H65" i="1"/>
  <c r="I65" i="1" s="1"/>
  <c r="J65" i="1" s="1"/>
  <c r="H44" i="1"/>
  <c r="I44" i="1" s="1"/>
  <c r="J43" i="1" s="1"/>
  <c r="H12" i="1"/>
  <c r="I12" i="1" s="1"/>
  <c r="H41" i="1"/>
  <c r="I41" i="1" s="1"/>
  <c r="J41" i="1" s="1"/>
  <c r="H11" i="1"/>
  <c r="I11" i="1" s="1"/>
  <c r="H58" i="1"/>
  <c r="I58" i="1" s="1"/>
  <c r="J58" i="1" s="1"/>
  <c r="H19" i="1"/>
  <c r="I19" i="1" s="1"/>
  <c r="H8" i="1"/>
  <c r="I8" i="1" s="1"/>
  <c r="H66" i="1"/>
  <c r="I66" i="1" s="1"/>
  <c r="J66" i="1" s="1"/>
  <c r="H54" i="1"/>
  <c r="I54" i="1" s="1"/>
  <c r="J54" i="1" s="1"/>
  <c r="H30" i="1"/>
  <c r="I30" i="1" s="1"/>
  <c r="J30" i="1" s="1"/>
  <c r="H18" i="1"/>
  <c r="I18" i="1" s="1"/>
  <c r="H5" i="1"/>
  <c r="I5" i="1" s="1"/>
  <c r="J5" i="1" s="1"/>
  <c r="H63" i="1"/>
  <c r="I63" i="1" s="1"/>
  <c r="J63" i="1" s="1"/>
  <c r="H39" i="1"/>
  <c r="I39" i="1" s="1"/>
  <c r="J39" i="1" s="1"/>
  <c r="K39" i="1" s="1"/>
  <c r="H27" i="1"/>
  <c r="I27" i="1" s="1"/>
  <c r="J27" i="1" s="1"/>
  <c r="H15" i="1"/>
  <c r="I15" i="1" s="1"/>
  <c r="H62" i="1"/>
  <c r="I62" i="1" s="1"/>
  <c r="J62" i="1" s="1"/>
  <c r="H50" i="1"/>
  <c r="I50" i="1" s="1"/>
  <c r="H38" i="1"/>
  <c r="I38" i="1" s="1"/>
  <c r="J38" i="1" s="1"/>
  <c r="H14" i="1"/>
  <c r="I14" i="1" s="1"/>
  <c r="H6" i="1"/>
  <c r="I6" i="1" s="1"/>
  <c r="H16" i="1"/>
  <c r="I16" i="1" s="1"/>
  <c r="H73" i="1"/>
  <c r="I73" i="1" s="1"/>
  <c r="J73" i="1" s="1"/>
  <c r="H49" i="1"/>
  <c r="I49" i="1" s="1"/>
  <c r="H37" i="1"/>
  <c r="I37" i="1" s="1"/>
  <c r="J37" i="1" s="1"/>
  <c r="H25" i="1"/>
  <c r="I25" i="1" s="1"/>
  <c r="J25" i="1" s="1"/>
  <c r="H13" i="1"/>
  <c r="I13" i="1" s="1"/>
  <c r="H72" i="1"/>
  <c r="I72" i="1" s="1"/>
  <c r="J72" i="1" s="1"/>
  <c r="H60" i="1"/>
  <c r="I60" i="1" s="1"/>
  <c r="J60" i="1" s="1"/>
  <c r="H48" i="1"/>
  <c r="I48" i="1" s="1"/>
  <c r="H36" i="1"/>
  <c r="I36" i="1" s="1"/>
  <c r="J36" i="1" s="1"/>
  <c r="H24" i="1"/>
  <c r="I24" i="1" s="1"/>
  <c r="J24" i="1" s="1"/>
  <c r="H17" i="1"/>
  <c r="I17" i="1" s="1"/>
  <c r="H28" i="1"/>
  <c r="I28" i="1" s="1"/>
  <c r="J28" i="1" s="1"/>
  <c r="H71" i="1"/>
  <c r="I71" i="1" s="1"/>
  <c r="J71" i="1" s="1"/>
  <c r="H59" i="1"/>
  <c r="I59" i="1" s="1"/>
  <c r="J59" i="1" s="1"/>
  <c r="E73" i="2"/>
  <c r="D82" i="2"/>
  <c r="B85" i="2"/>
  <c r="B89" i="2"/>
  <c r="B86" i="2"/>
  <c r="B83" i="2"/>
  <c r="B88" i="2"/>
  <c r="D90" i="2"/>
  <c r="F22" i="2"/>
  <c r="F19" i="2"/>
  <c r="F16" i="2"/>
  <c r="F24" i="2" s="1"/>
  <c r="B75" i="2" s="1"/>
  <c r="B84" i="2"/>
  <c r="D16" i="2"/>
  <c r="B81" i="2"/>
  <c r="F23" i="2"/>
  <c r="F20" i="2"/>
  <c r="F17" i="2"/>
  <c r="K61" i="1" l="1"/>
  <c r="K51" i="1"/>
  <c r="K40" i="1"/>
  <c r="K31" i="1"/>
  <c r="K20" i="1"/>
  <c r="J6" i="1"/>
  <c r="K3" i="1" s="1"/>
  <c r="K74" i="3"/>
  <c r="K3" i="2"/>
  <c r="B77" i="2"/>
  <c r="F82" i="2"/>
  <c r="B82" i="2"/>
  <c r="D24" i="2"/>
  <c r="K2" i="2" s="1"/>
  <c r="K4" i="2" s="1"/>
  <c r="K5" i="2" l="1"/>
  <c r="K6" i="2"/>
  <c r="F87" i="2"/>
  <c r="B78" i="2"/>
  <c r="F88" i="2"/>
  <c r="F86" i="2"/>
  <c r="F84" i="2"/>
  <c r="F83" i="2"/>
  <c r="F89" i="2"/>
  <c r="F85" i="2"/>
  <c r="C85" i="2" l="1"/>
  <c r="E85" i="2" s="1"/>
  <c r="C84" i="2"/>
  <c r="E84" i="2" s="1"/>
  <c r="F81" i="2"/>
  <c r="C83" i="2"/>
  <c r="E83" i="2" s="1"/>
  <c r="C89" i="2"/>
  <c r="E89" i="2" s="1"/>
  <c r="C86" i="2"/>
  <c r="E86" i="2" s="1"/>
  <c r="C87" i="2"/>
  <c r="E87" i="2" s="1"/>
  <c r="C81" i="2"/>
  <c r="E81" i="2" s="1"/>
  <c r="C88" i="2"/>
  <c r="E88" i="2" s="1"/>
  <c r="C82" i="2"/>
  <c r="E82" i="2" s="1"/>
  <c r="E90" i="2" l="1"/>
  <c r="K7" i="2" s="1"/>
  <c r="K8" i="2" s="1"/>
  <c r="K74" i="1" l="1"/>
</calcChain>
</file>

<file path=xl/sharedStrings.xml><?xml version="1.0" encoding="utf-8"?>
<sst xmlns="http://schemas.openxmlformats.org/spreadsheetml/2006/main" count="713" uniqueCount="201">
  <si>
    <t>I1</t>
  </si>
  <si>
    <t>I2</t>
  </si>
  <si>
    <t>I3</t>
  </si>
  <si>
    <t>Subtotal</t>
  </si>
  <si>
    <t>Total</t>
  </si>
  <si>
    <t>Subtotal (2)</t>
  </si>
  <si>
    <t>01</t>
  </si>
  <si>
    <t>001</t>
  </si>
  <si>
    <t>02</t>
  </si>
  <si>
    <t>03</t>
  </si>
  <si>
    <t>04</t>
  </si>
  <si>
    <t>05</t>
  </si>
  <si>
    <t>06</t>
  </si>
  <si>
    <t>002</t>
  </si>
  <si>
    <t>003</t>
  </si>
  <si>
    <t>Description</t>
  </si>
  <si>
    <t>Cuantity</t>
  </si>
  <si>
    <t>Units</t>
  </si>
  <si>
    <t>Price</t>
  </si>
  <si>
    <t>Resource</t>
  </si>
  <si>
    <t>IrBoard costs breakdown</t>
  </si>
  <si>
    <t>Project management</t>
  </si>
  <si>
    <t xml:space="preserve">   Design project schedule</t>
  </si>
  <si>
    <t xml:space="preserve">   Generate budget</t>
  </si>
  <si>
    <t xml:space="preserve">   Periodic project management</t>
  </si>
  <si>
    <t xml:space="preserve">      Periodic project management 1</t>
  </si>
  <si>
    <t xml:space="preserve">      Periodic project management 2</t>
  </si>
  <si>
    <t xml:space="preserve">      Periodic project management 3</t>
  </si>
  <si>
    <t xml:space="preserve">      Periodic project management 4</t>
  </si>
  <si>
    <t xml:space="preserve">      Periodic project management 5</t>
  </si>
  <si>
    <t xml:space="preserve">      Periodic project management 6</t>
  </si>
  <si>
    <t xml:space="preserve">      Periodic project management 7</t>
  </si>
  <si>
    <t xml:space="preserve">      Periodic project management 8</t>
  </si>
  <si>
    <t xml:space="preserve">      Periodic project management 9</t>
  </si>
  <si>
    <t xml:space="preserve">      Periodic project management 10</t>
  </si>
  <si>
    <t xml:space="preserve">      Periodic project management 11</t>
  </si>
  <si>
    <t xml:space="preserve">      Periodic project management 12</t>
  </si>
  <si>
    <t xml:space="preserve">      Periodic project management 13</t>
  </si>
  <si>
    <t>Analysis/Software Requirements</t>
  </si>
  <si>
    <t xml:space="preserve">   Determine project scope</t>
  </si>
  <si>
    <t xml:space="preserve">   Review Regulatory Standards</t>
  </si>
  <si>
    <t xml:space="preserve">   Identify required Documentation</t>
  </si>
  <si>
    <t xml:space="preserve">   Determine hand-ins for the project</t>
  </si>
  <si>
    <t xml:space="preserve">   Adapt project template to typst</t>
  </si>
  <si>
    <t xml:space="preserve">   Analyze existing systems</t>
  </si>
  <si>
    <t xml:space="preserve">   Draft preliminary software requirements</t>
  </si>
  <si>
    <t xml:space="preserve">   Model auxiliary diagrams</t>
  </si>
  <si>
    <t xml:space="preserve">   Review software requirements</t>
  </si>
  <si>
    <t xml:space="preserve">   Modify requirements with feedback</t>
  </si>
  <si>
    <t>Design</t>
  </si>
  <si>
    <t xml:space="preserve">   Design architecture</t>
  </si>
  <si>
    <t xml:space="preserve">   Design brand identity</t>
  </si>
  <si>
    <t xml:space="preserve">   Design project management</t>
  </si>
  <si>
    <t xml:space="preserve">   Design stakeholder management</t>
  </si>
  <si>
    <t xml:space="preserve">   Design requirement management</t>
  </si>
  <si>
    <t xml:space="preserve">   Design user management</t>
  </si>
  <si>
    <t xml:space="preserve">   Design document management and diagram modelling</t>
  </si>
  <si>
    <t>Set up SonarQube for Quality Assurance</t>
  </si>
  <si>
    <t>Development</t>
  </si>
  <si>
    <t xml:space="preserve">   Set up architecture</t>
  </si>
  <si>
    <t xml:space="preserve">   Set up development enviroment</t>
  </si>
  <si>
    <t xml:space="preserve">   Develop code</t>
  </si>
  <si>
    <t xml:space="preserve">      Develop project management module</t>
  </si>
  <si>
    <t xml:space="preserve">      Develop stakeholder management module</t>
  </si>
  <si>
    <t xml:space="preserve">      Develop requirement management module</t>
  </si>
  <si>
    <t xml:space="preserve">      Develop user management module</t>
  </si>
  <si>
    <t xml:space="preserve">      Develop document management and Draw.io integration</t>
  </si>
  <si>
    <t xml:space="preserve">      Develop modifying concurrency system</t>
  </si>
  <si>
    <t xml:space="preserve">      Develop search and filtering</t>
  </si>
  <si>
    <t>Testing</t>
  </si>
  <si>
    <t xml:space="preserve">   Test project management module</t>
  </si>
  <si>
    <t xml:space="preserve">   Test stakeholder management module</t>
  </si>
  <si>
    <t xml:space="preserve">   Test requirement management module</t>
  </si>
  <si>
    <t xml:space="preserve">   Test user management module</t>
  </si>
  <si>
    <t xml:space="preserve">   Test document management and Draw.io integration</t>
  </si>
  <si>
    <t xml:space="preserve">   Test modifying concurrency system</t>
  </si>
  <si>
    <t xml:space="preserve">   Test search and filtering</t>
  </si>
  <si>
    <t xml:space="preserve">   Accesibility testing</t>
  </si>
  <si>
    <t xml:space="preserve">   Load testing</t>
  </si>
  <si>
    <t>Documentation</t>
  </si>
  <si>
    <t xml:space="preserve">   Document declaration of originality, abstract and keywords</t>
  </si>
  <si>
    <t xml:space="preserve">   Document introduction</t>
  </si>
  <si>
    <t xml:space="preserve">   Document theoretical background</t>
  </si>
  <si>
    <t xml:space="preserve">   Document feasibility study and alternative analysis</t>
  </si>
  <si>
    <t xml:space="preserve">   Document Initial project planning and management</t>
  </si>
  <si>
    <t xml:space="preserve">   Document system analysis</t>
  </si>
  <si>
    <t xml:space="preserve">   Document system design</t>
  </si>
  <si>
    <t xml:space="preserve">   Document system implementation</t>
  </si>
  <si>
    <t xml:space="preserve">   Document test plan execution</t>
  </si>
  <si>
    <t xml:space="preserve">   Document system manuals</t>
  </si>
  <si>
    <t xml:space="preserve">   Document final project closure</t>
  </si>
  <si>
    <t xml:space="preserve">   Document conclusions and future work</t>
  </si>
  <si>
    <t>07</t>
  </si>
  <si>
    <t>08</t>
  </si>
  <si>
    <t>09</t>
  </si>
  <si>
    <t>10</t>
  </si>
  <si>
    <t>11</t>
  </si>
  <si>
    <t>12</t>
  </si>
  <si>
    <t>13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</si>
  <si>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</si>
  <si>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</si>
  <si>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</si>
  <si>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</si>
  <si>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</si>
  <si>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</si>
  <si>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</si>
  <si>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</si>
  <si>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</si>
  <si>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Hours</t>
  </si>
  <si>
    <t>Project manager</t>
  </si>
  <si>
    <t>Available resources</t>
  </si>
  <si>
    <t>System Analyst</t>
  </si>
  <si>
    <t>Technology consultant</t>
  </si>
  <si>
    <t>Software architect</t>
  </si>
  <si>
    <t>Senior software engineer</t>
  </si>
  <si>
    <t>Junior software engineer</t>
  </si>
  <si>
    <t>TOTAL</t>
  </si>
  <si>
    <t>Prod(%)</t>
  </si>
  <si>
    <t>val</t>
  </si>
  <si>
    <t>Nº</t>
  </si>
  <si>
    <t>total</t>
  </si>
  <si>
    <t>Num</t>
  </si>
  <si>
    <t>Personnel</t>
  </si>
  <si>
    <t>General manager</t>
  </si>
  <si>
    <t>Service coordinator</t>
  </si>
  <si>
    <t>Systems analyst</t>
  </si>
  <si>
    <t>Senior developer</t>
  </si>
  <si>
    <t>Junior developer</t>
  </si>
  <si>
    <t>Sales representative</t>
  </si>
  <si>
    <t>Gross annual salary</t>
  </si>
  <si>
    <t>annual employment cost</t>
  </si>
  <si>
    <t>Concept</t>
  </si>
  <si>
    <t>Amount</t>
  </si>
  <si>
    <t>Total direct costs</t>
  </si>
  <si>
    <t>Total indirect cotsts</t>
  </si>
  <si>
    <t>Sum of direct and indirect costs</t>
  </si>
  <si>
    <t>Desired profit</t>
  </si>
  <si>
    <t>Required billing/revenue</t>
  </si>
  <si>
    <t>Possible billing based on productive hours and calculated hourly rates</t>
  </si>
  <si>
    <t>Margin between total cost and billing</t>
  </si>
  <si>
    <t>Direct cost</t>
  </si>
  <si>
    <t>IC  (%)</t>
  </si>
  <si>
    <t>Indirect cost</t>
  </si>
  <si>
    <t>Service</t>
  </si>
  <si>
    <t>Monthly cost</t>
  </si>
  <si>
    <t>Annual cost</t>
  </si>
  <si>
    <t>Cleaning</t>
  </si>
  <si>
    <t>Advertising</t>
  </si>
  <si>
    <t>Accounting services</t>
  </si>
  <si>
    <t>Quality control</t>
  </si>
  <si>
    <t>Taxes and fees</t>
  </si>
  <si>
    <t>Rent / lease</t>
  </si>
  <si>
    <t>Vehicle leasing fees</t>
  </si>
  <si>
    <t>Maintenance, repair and upkeep</t>
  </si>
  <si>
    <t>Small tools and equipment</t>
  </si>
  <si>
    <t>Electricity consumption</t>
  </si>
  <si>
    <t>Heating energy consumption</t>
  </si>
  <si>
    <t>Water consumption</t>
  </si>
  <si>
    <t>Consulting, auditing and professional fees</t>
  </si>
  <si>
    <t>Insurance premiums</t>
  </si>
  <si>
    <t>Freight and transportation costs</t>
  </si>
  <si>
    <t>Communications expenses</t>
  </si>
  <si>
    <t>Travel, subsistence and accomodation expenses for non productive staff</t>
  </si>
  <si>
    <t>Advertising and public relations expenses</t>
  </si>
  <si>
    <t>Office supplies</t>
  </si>
  <si>
    <t>Postal and courier expenses</t>
  </si>
  <si>
    <t>Professional and business publication subscriptions</t>
  </si>
  <si>
    <t>Financial expenses</t>
  </si>
  <si>
    <t>Depreciation expense of fixed assets</t>
  </si>
  <si>
    <t>Equipment/licenses</t>
  </si>
  <si>
    <t>Total cost</t>
  </si>
  <si>
    <t>Type</t>
  </si>
  <si>
    <t>Term</t>
  </si>
  <si>
    <t>Rental</t>
  </si>
  <si>
    <t>Depreciation</t>
  </si>
  <si>
    <t>Azure data center</t>
  </si>
  <si>
    <t>Administrative equipment</t>
  </si>
  <si>
    <t>Development equipment</t>
  </si>
  <si>
    <t>Laptops</t>
  </si>
  <si>
    <t>Development licenses</t>
  </si>
  <si>
    <t>Apple developer program annual fee</t>
  </si>
  <si>
    <t>Google play console registration</t>
  </si>
  <si>
    <t>Collaboration tools</t>
  </si>
  <si>
    <t>Hours / year</t>
  </si>
  <si>
    <t>Productive hours per year (per person)</t>
  </si>
  <si>
    <t>Total productive hours</t>
  </si>
  <si>
    <t>Indirect costs</t>
  </si>
  <si>
    <t>Productive employees</t>
  </si>
  <si>
    <t>Indirect costs per productive employee</t>
  </si>
  <si>
    <t>Indirect costs including profit</t>
  </si>
  <si>
    <t>Direct cost / hour</t>
  </si>
  <si>
    <t>Hourly rate (with profit)</t>
  </si>
  <si>
    <t>Productive hours</t>
  </si>
  <si>
    <t>Revenue</t>
  </si>
  <si>
    <t>Hourly rate (without profit)</t>
  </si>
  <si>
    <t>Hourly  rate (without profit)</t>
  </si>
  <si>
    <t>profits cut</t>
  </si>
  <si>
    <t>customer's price</t>
  </si>
  <si>
    <t>Original customer's price</t>
  </si>
  <si>
    <t>Actual cost with profit</t>
  </si>
  <si>
    <t>revenue lost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</si>
</sst>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9" fontId="0" fillId="0" borderId="11" xfId="0" applyNumberFormat="1" applyBorder="1"/>
    <xf numFmtId="49" fontId="0" fillId="0" borderId="0" xfId="0" applyNumberFormat="1"/>
    <xf numFmtId="0" fontId="2" fillId="0" borderId="0" xfId="0" applyFont="1" applyAlignment="1">
      <alignment wrapText="1"/>
    </xf>
    <xf numFmtId="49" fontId="0" fillId="0" borderId="13" xfId="0" applyNumberFormat="1" applyBorder="1"/>
    <xf numFmtId="49" fontId="0" fillId="0" borderId="14" xfId="0" applyNumberFormat="1" applyBorder="1"/>
    <xf numFmtId="0" fontId="0" fillId="0" borderId="14" xfId="0" applyBorder="1" applyAlignment="1">
      <alignment wrapText="1"/>
    </xf>
    <xf numFmtId="0" fontId="0" fillId="0" borderId="14" xfId="0" applyBorder="1"/>
    <xf numFmtId="0" fontId="2" fillId="0" borderId="17" xfId="0" applyFont="1" applyBorder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3" fillId="2" borderId="16" xfId="0" applyFont="1" applyFill="1" applyBorder="1"/>
    <xf numFmtId="44" fontId="5" fillId="2" borderId="20" xfId="0" applyNumberFormat="1" applyFont="1" applyFill="1" applyBorder="1"/>
    <xf numFmtId="0" fontId="5" fillId="2" borderId="20" xfId="0" applyFont="1" applyFill="1" applyBorder="1"/>
    <xf numFmtId="0" fontId="5" fillId="2" borderId="21" xfId="0" applyFont="1" applyFill="1" applyBorder="1" applyAlignment="1">
      <alignment wrapText="1"/>
    </xf>
    <xf numFmtId="44" fontId="3" fillId="0" borderId="6" xfId="1" applyFont="1" applyBorder="1"/>
    <xf numFmtId="44" fontId="3" fillId="0" borderId="20" xfId="0" applyNumberFormat="1" applyFont="1" applyBorder="1"/>
    <xf numFmtId="0" fontId="3" fillId="0" borderId="20" xfId="0" applyFont="1" applyBorder="1"/>
    <xf numFmtId="44" fontId="3" fillId="0" borderId="20" xfId="1" applyFont="1" applyFill="1" applyBorder="1"/>
    <xf numFmtId="0" fontId="3" fillId="0" borderId="21" xfId="0" applyFont="1" applyBorder="1" applyAlignment="1">
      <alignment wrapText="1"/>
    </xf>
    <xf numFmtId="44" fontId="3" fillId="2" borderId="6" xfId="1" applyFont="1" applyFill="1" applyBorder="1"/>
    <xf numFmtId="44" fontId="3" fillId="2" borderId="0" xfId="0" applyNumberFormat="1" applyFont="1" applyFill="1"/>
    <xf numFmtId="0" fontId="3" fillId="2" borderId="0" xfId="0" applyFont="1" applyFill="1"/>
    <xf numFmtId="44" fontId="3" fillId="2" borderId="0" xfId="1" applyFont="1" applyFill="1" applyBorder="1"/>
    <xf numFmtId="0" fontId="3" fillId="2" borderId="5" xfId="0" applyFont="1" applyFill="1" applyBorder="1" applyAlignment="1">
      <alignment wrapText="1"/>
    </xf>
    <xf numFmtId="44" fontId="3" fillId="0" borderId="0" xfId="0" applyNumberFormat="1" applyFont="1"/>
    <xf numFmtId="44" fontId="3" fillId="0" borderId="0" xfId="1" applyFont="1" applyFill="1" applyBorder="1"/>
    <xf numFmtId="0" fontId="3" fillId="0" borderId="5" xfId="0" applyFont="1" applyBorder="1" applyAlignment="1">
      <alignment wrapText="1"/>
    </xf>
    <xf numFmtId="0" fontId="5" fillId="2" borderId="22" xfId="0" applyFont="1" applyFill="1" applyBorder="1" applyAlignment="1">
      <alignment horizontal="center" wrapText="1"/>
    </xf>
    <xf numFmtId="0" fontId="5" fillId="2" borderId="23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44" fontId="3" fillId="2" borderId="25" xfId="0" applyNumberFormat="1" applyFont="1" applyFill="1" applyBorder="1"/>
    <xf numFmtId="0" fontId="3" fillId="2" borderId="21" xfId="0" applyFont="1" applyFill="1" applyBorder="1" applyAlignment="1">
      <alignment wrapText="1"/>
    </xf>
    <xf numFmtId="44" fontId="3" fillId="0" borderId="6" xfId="0" applyNumberFormat="1" applyFont="1" applyBorder="1"/>
    <xf numFmtId="0" fontId="3" fillId="2" borderId="6" xfId="0" applyFont="1" applyFill="1" applyBorder="1"/>
    <xf numFmtId="44" fontId="3" fillId="0" borderId="22" xfId="0" applyNumberFormat="1" applyFont="1" applyBorder="1"/>
    <xf numFmtId="0" fontId="3" fillId="0" borderId="24" xfId="0" applyFont="1" applyBorder="1" applyAlignment="1">
      <alignment wrapText="1"/>
    </xf>
    <xf numFmtId="0" fontId="5" fillId="0" borderId="25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3" fillId="2" borderId="25" xfId="0" applyFont="1" applyFill="1" applyBorder="1" applyAlignment="1">
      <alignment wrapText="1"/>
    </xf>
    <xf numFmtId="0" fontId="3" fillId="2" borderId="20" xfId="0" applyFont="1" applyFill="1" applyBorder="1" applyAlignment="1">
      <alignment wrapText="1"/>
    </xf>
    <xf numFmtId="10" fontId="3" fillId="2" borderId="20" xfId="0" applyNumberFormat="1" applyFont="1" applyFill="1" applyBorder="1" applyAlignment="1">
      <alignment wrapText="1"/>
    </xf>
    <xf numFmtId="0" fontId="3" fillId="0" borderId="6" xfId="0" applyFont="1" applyBorder="1" applyAlignment="1">
      <alignment wrapText="1"/>
    </xf>
    <xf numFmtId="0" fontId="6" fillId="0" borderId="0" xfId="0" applyFont="1" applyAlignment="1">
      <alignment wrapText="1"/>
    </xf>
    <xf numFmtId="10" fontId="3" fillId="0" borderId="0" xfId="0" applyNumberFormat="1" applyFont="1" applyAlignment="1">
      <alignment wrapText="1"/>
    </xf>
    <xf numFmtId="0" fontId="3" fillId="2" borderId="6" xfId="0" applyFont="1" applyFill="1" applyBorder="1" applyAlignment="1">
      <alignment wrapText="1"/>
    </xf>
    <xf numFmtId="0" fontId="3" fillId="2" borderId="0" xfId="0" applyFont="1" applyFill="1" applyAlignment="1">
      <alignment wrapText="1"/>
    </xf>
    <xf numFmtId="0" fontId="6" fillId="2" borderId="0" xfId="0" applyFont="1" applyFill="1" applyAlignment="1">
      <alignment wrapText="1"/>
    </xf>
    <xf numFmtId="10" fontId="3" fillId="2" borderId="0" xfId="0" applyNumberFormat="1" applyFont="1" applyFill="1" applyAlignment="1">
      <alignment wrapText="1"/>
    </xf>
    <xf numFmtId="0" fontId="5" fillId="0" borderId="26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3" fillId="0" borderId="9" xfId="0" applyFont="1" applyBorder="1"/>
    <xf numFmtId="0" fontId="3" fillId="0" borderId="8" xfId="0" applyFont="1" applyBorder="1"/>
    <xf numFmtId="44" fontId="5" fillId="0" borderId="8" xfId="1" applyFont="1" applyFill="1" applyBorder="1"/>
    <xf numFmtId="0" fontId="5" fillId="0" borderId="7" xfId="0" applyFont="1" applyBorder="1" applyAlignment="1">
      <alignment wrapText="1"/>
    </xf>
    <xf numFmtId="0" fontId="6" fillId="2" borderId="0" xfId="0" applyFont="1" applyFill="1"/>
    <xf numFmtId="44" fontId="6" fillId="2" borderId="0" xfId="1" applyFont="1" applyFill="1" applyBorder="1"/>
    <xf numFmtId="0" fontId="3" fillId="0" borderId="6" xfId="0" applyFont="1" applyBorder="1"/>
    <xf numFmtId="0" fontId="6" fillId="0" borderId="0" xfId="0" applyFont="1"/>
    <xf numFmtId="44" fontId="6" fillId="0" borderId="0" xfId="1" applyFont="1" applyFill="1" applyBorder="1"/>
    <xf numFmtId="0" fontId="6" fillId="2" borderId="6" xfId="0" applyFont="1" applyFill="1" applyBorder="1"/>
    <xf numFmtId="0" fontId="7" fillId="2" borderId="0" xfId="0" applyFont="1" applyFill="1"/>
    <xf numFmtId="0" fontId="6" fillId="0" borderId="6" xfId="0" applyFont="1" applyBorder="1"/>
    <xf numFmtId="0" fontId="7" fillId="0" borderId="0" xfId="0" applyFont="1"/>
    <xf numFmtId="0" fontId="5" fillId="2" borderId="26" xfId="0" applyFont="1" applyFill="1" applyBorder="1" applyAlignment="1">
      <alignment wrapText="1"/>
    </xf>
    <xf numFmtId="0" fontId="5" fillId="2" borderId="2" xfId="0" applyFont="1" applyFill="1" applyBorder="1" applyAlignment="1">
      <alignment wrapText="1"/>
    </xf>
    <xf numFmtId="44" fontId="5" fillId="2" borderId="9" xfId="1" applyFont="1" applyFill="1" applyBorder="1"/>
    <xf numFmtId="44" fontId="3" fillId="2" borderId="8" xfId="1" applyFont="1" applyFill="1" applyBorder="1"/>
    <xf numFmtId="0" fontId="5" fillId="2" borderId="7" xfId="0" applyFont="1" applyFill="1" applyBorder="1" applyAlignment="1">
      <alignment wrapText="1"/>
    </xf>
    <xf numFmtId="44" fontId="3" fillId="0" borderId="6" xfId="1" applyFont="1" applyFill="1" applyBorder="1"/>
    <xf numFmtId="0" fontId="8" fillId="0" borderId="4" xfId="0" applyFont="1" applyBorder="1"/>
    <xf numFmtId="0" fontId="8" fillId="2" borderId="4" xfId="0" applyFont="1" applyFill="1" applyBorder="1"/>
    <xf numFmtId="0" fontId="5" fillId="2" borderId="1" xfId="0" applyFont="1" applyFill="1" applyBorder="1" applyAlignment="1">
      <alignment wrapText="1"/>
    </xf>
    <xf numFmtId="44" fontId="5" fillId="2" borderId="25" xfId="1" applyFont="1" applyFill="1" applyBorder="1"/>
    <xf numFmtId="44" fontId="5" fillId="2" borderId="20" xfId="1" applyFont="1" applyFill="1" applyBorder="1"/>
    <xf numFmtId="44" fontId="3" fillId="0" borderId="25" xfId="1" applyFont="1" applyFill="1" applyBorder="1"/>
    <xf numFmtId="10" fontId="3" fillId="0" borderId="20" xfId="2" applyNumberFormat="1" applyFont="1" applyFill="1" applyBorder="1"/>
    <xf numFmtId="10" fontId="6" fillId="0" borderId="20" xfId="2" applyNumberFormat="1" applyFont="1" applyFill="1" applyBorder="1"/>
    <xf numFmtId="10" fontId="3" fillId="2" borderId="0" xfId="2" applyNumberFormat="1" applyFont="1" applyFill="1" applyBorder="1"/>
    <xf numFmtId="10" fontId="6" fillId="2" borderId="0" xfId="2" applyNumberFormat="1" applyFont="1" applyFill="1" applyBorder="1"/>
    <xf numFmtId="10" fontId="3" fillId="0" borderId="0" xfId="2" applyNumberFormat="1" applyFont="1" applyFill="1" applyBorder="1"/>
    <xf numFmtId="10" fontId="6" fillId="0" borderId="0" xfId="2" applyNumberFormat="1" applyFont="1" applyFill="1" applyBorder="1"/>
    <xf numFmtId="0" fontId="5" fillId="2" borderId="26" xfId="0" applyFont="1" applyFill="1" applyBorder="1"/>
    <xf numFmtId="0" fontId="5" fillId="2" borderId="2" xfId="0" applyFont="1" applyFill="1" applyBorder="1"/>
    <xf numFmtId="44" fontId="5" fillId="0" borderId="9" xfId="0" applyNumberFormat="1" applyFont="1" applyBorder="1"/>
    <xf numFmtId="0" fontId="5" fillId="0" borderId="8" xfId="0" applyFont="1" applyBorder="1"/>
    <xf numFmtId="0" fontId="5" fillId="0" borderId="7" xfId="0" applyFont="1" applyBorder="1" applyAlignment="1">
      <alignment horizontal="right" wrapText="1"/>
    </xf>
    <xf numFmtId="10" fontId="2" fillId="2" borderId="25" xfId="2" applyNumberFormat="1" applyFont="1" applyFill="1" applyBorder="1"/>
    <xf numFmtId="0" fontId="0" fillId="2" borderId="20" xfId="0" applyFill="1" applyBorder="1"/>
    <xf numFmtId="0" fontId="0" fillId="2" borderId="21" xfId="0" applyFill="1" applyBorder="1" applyAlignment="1">
      <alignment horizontal="center"/>
    </xf>
    <xf numFmtId="44" fontId="2" fillId="0" borderId="6" xfId="0" applyNumberFormat="1" applyFont="1" applyBorder="1"/>
    <xf numFmtId="0" fontId="0" fillId="0" borderId="5" xfId="0" applyBorder="1" applyAlignment="1">
      <alignment horizontal="center"/>
    </xf>
    <xf numFmtId="44" fontId="2" fillId="2" borderId="6" xfId="1" applyFont="1" applyFill="1" applyBorder="1"/>
    <xf numFmtId="0" fontId="0" fillId="2" borderId="5" xfId="0" applyFill="1" applyBorder="1" applyAlignment="1">
      <alignment horizontal="center"/>
    </xf>
    <xf numFmtId="44" fontId="2" fillId="0" borderId="6" xfId="1" applyFont="1" applyBorder="1"/>
    <xf numFmtId="9" fontId="9" fillId="0" borderId="0" xfId="0" applyNumberFormat="1" applyFont="1"/>
    <xf numFmtId="0" fontId="3" fillId="0" borderId="26" xfId="0" applyFont="1" applyBorder="1"/>
    <xf numFmtId="0" fontId="3" fillId="0" borderId="2" xfId="0" applyFont="1" applyBorder="1"/>
    <xf numFmtId="0" fontId="3" fillId="0" borderId="1" xfId="0" applyFont="1" applyBorder="1" applyAlignment="1">
      <alignment horizontal="center" wrapText="1"/>
    </xf>
    <xf numFmtId="0" fontId="5" fillId="0" borderId="26" xfId="0" applyFont="1" applyBorder="1"/>
    <xf numFmtId="0" fontId="5" fillId="0" borderId="2" xfId="0" applyFont="1" applyBorder="1"/>
    <xf numFmtId="44" fontId="0" fillId="0" borderId="0" xfId="0" applyNumberFormat="1"/>
    <xf numFmtId="164" fontId="0" fillId="0" borderId="0" xfId="0" applyNumberFormat="1"/>
    <xf numFmtId="164" fontId="0" fillId="0" borderId="12" xfId="0" applyNumberFormat="1" applyBorder="1"/>
    <xf numFmtId="164" fontId="0" fillId="0" borderId="15" xfId="0" applyNumberFormat="1" applyBorder="1"/>
    <xf numFmtId="164" fontId="0" fillId="0" borderId="4" xfId="0" applyNumberFormat="1" applyBorder="1"/>
    <xf numFmtId="164" fontId="0" fillId="0" borderId="10" xfId="0" applyNumberFormat="1" applyBorder="1"/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FFC12-4B3C-479B-B0DC-844B6AAD97BF}">
  <dimension ref="A1:LD90"/>
  <sheetViews>
    <sheetView tabSelected="1" topLeftCell="A77" zoomScale="80" zoomScaleNormal="80" workbookViewId="0">
      <selection activeCell="H77" sqref="H77"/>
    </sheetView>
  </sheetViews>
  <sheetFormatPr defaultColWidth="8.88671875" defaultRowHeight="14.4" x14ac:dyDescent="0.3"/>
  <cols>
    <col min="1" max="1" width="31.6640625" style="1" customWidth="1"/>
    <col min="2" max="2" width="17.6640625" bestFit="1" customWidth="1"/>
    <col min="3" max="3" width="15.6640625" bestFit="1" customWidth="1"/>
    <col min="4" max="4" width="17.6640625" bestFit="1" customWidth="1"/>
    <col min="5" max="5" width="16.33203125" bestFit="1" customWidth="1"/>
    <col min="6" max="6" width="13.6640625" bestFit="1" customWidth="1"/>
    <col min="7" max="7" width="15.5546875" customWidth="1"/>
    <col min="8" max="8" width="3.33203125" bestFit="1" customWidth="1"/>
    <col min="9" max="9" width="79.109375" customWidth="1"/>
    <col min="10" max="10" width="4.44140625" bestFit="1" customWidth="1"/>
    <col min="11" max="11" width="14.5546875" bestFit="1" customWidth="1"/>
  </cols>
  <sheetData>
    <row r="1" spans="1:316" ht="28.8" x14ac:dyDescent="0.3">
      <c r="A1" s="59" t="s">
        <v>122</v>
      </c>
      <c r="B1" s="109" t="s">
        <v>121</v>
      </c>
      <c r="C1" s="58" t="s">
        <v>129</v>
      </c>
      <c r="D1" s="58" t="s">
        <v>130</v>
      </c>
      <c r="E1" s="108" t="s">
        <v>120</v>
      </c>
      <c r="F1" s="4"/>
      <c r="G1" s="4"/>
      <c r="H1" s="107" t="s">
        <v>119</v>
      </c>
      <c r="I1" s="106" t="s">
        <v>131</v>
      </c>
      <c r="J1" s="106" t="s">
        <v>118</v>
      </c>
      <c r="K1" s="105" t="s">
        <v>132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</row>
    <row r="2" spans="1:316" s="15" customFormat="1" x14ac:dyDescent="0.3">
      <c r="A2" s="29" t="s">
        <v>123</v>
      </c>
      <c r="B2" s="64">
        <v>1</v>
      </c>
      <c r="C2" s="65">
        <v>76243</v>
      </c>
      <c r="D2" s="65">
        <v>91781.35</v>
      </c>
      <c r="E2" s="25">
        <f t="shared" ref="E2:E10" si="0">B2*D2</f>
        <v>91781.35</v>
      </c>
      <c r="F2" s="4"/>
      <c r="G2" s="4"/>
      <c r="H2" s="102">
        <v>1</v>
      </c>
      <c r="I2" s="15" t="s">
        <v>133</v>
      </c>
      <c r="K2" s="101">
        <f>D24</f>
        <v>246372.66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</row>
    <row r="3" spans="1:316" x14ac:dyDescent="0.3">
      <c r="A3" s="32" t="s">
        <v>109</v>
      </c>
      <c r="B3" s="67">
        <v>1</v>
      </c>
      <c r="C3" s="68">
        <v>40550</v>
      </c>
      <c r="D3" s="68">
        <v>53039.4</v>
      </c>
      <c r="E3" s="78">
        <f t="shared" si="0"/>
        <v>53039.4</v>
      </c>
      <c r="F3" s="4"/>
      <c r="G3" s="4"/>
      <c r="H3" s="100">
        <v>2</v>
      </c>
      <c r="I3" t="s">
        <v>134</v>
      </c>
      <c r="K3" s="103">
        <f>B75</f>
        <v>335500.22000000003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</row>
    <row r="4" spans="1:316" s="15" customFormat="1" x14ac:dyDescent="0.3">
      <c r="A4" s="29" t="s">
        <v>124</v>
      </c>
      <c r="B4" s="64">
        <v>1</v>
      </c>
      <c r="C4" s="65">
        <v>25135</v>
      </c>
      <c r="D4" s="65">
        <v>32876.58</v>
      </c>
      <c r="E4" s="25">
        <f t="shared" si="0"/>
        <v>32876.58</v>
      </c>
      <c r="F4" s="4"/>
      <c r="G4" s="4"/>
      <c r="H4" s="102">
        <v>3</v>
      </c>
      <c r="I4" s="15" t="s">
        <v>135</v>
      </c>
      <c r="K4" s="101">
        <f>K2+K3</f>
        <v>581872.88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</row>
    <row r="5" spans="1:316" x14ac:dyDescent="0.3">
      <c r="A5" s="32" t="s">
        <v>125</v>
      </c>
      <c r="B5" s="67">
        <v>1</v>
      </c>
      <c r="C5" s="68">
        <v>35574</v>
      </c>
      <c r="D5" s="68">
        <v>46530.79</v>
      </c>
      <c r="E5" s="78">
        <f t="shared" si="0"/>
        <v>46530.79</v>
      </c>
      <c r="F5" s="4"/>
      <c r="G5" s="4"/>
      <c r="H5" s="100">
        <v>4</v>
      </c>
      <c r="I5" t="s">
        <v>136</v>
      </c>
      <c r="J5" s="104">
        <v>0.25</v>
      </c>
      <c r="K5" s="103">
        <f>K4*J5</f>
        <v>145468.22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</row>
    <row r="6" spans="1:316" s="15" customFormat="1" x14ac:dyDescent="0.3">
      <c r="A6" s="29" t="s">
        <v>112</v>
      </c>
      <c r="B6" s="64">
        <v>1</v>
      </c>
      <c r="C6" s="65">
        <v>41988</v>
      </c>
      <c r="D6" s="65">
        <v>54920.3</v>
      </c>
      <c r="E6" s="25">
        <f t="shared" si="0"/>
        <v>54920.3</v>
      </c>
      <c r="F6" s="4"/>
      <c r="G6" s="4"/>
      <c r="H6" s="102">
        <v>5</v>
      </c>
      <c r="I6" s="15" t="s">
        <v>137</v>
      </c>
      <c r="K6" s="101">
        <f>K4+K5</f>
        <v>727341.1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</row>
    <row r="7" spans="1:316" x14ac:dyDescent="0.3">
      <c r="A7" s="32" t="s">
        <v>113</v>
      </c>
      <c r="B7" s="67">
        <v>1</v>
      </c>
      <c r="C7" s="68">
        <v>44369</v>
      </c>
      <c r="D7" s="68">
        <v>58034.65</v>
      </c>
      <c r="E7" s="78">
        <f t="shared" si="0"/>
        <v>58034.65</v>
      </c>
      <c r="F7" s="4"/>
      <c r="G7" s="4"/>
      <c r="H7" s="100">
        <v>6</v>
      </c>
      <c r="I7" t="s">
        <v>138</v>
      </c>
      <c r="K7" s="99">
        <f>E90</f>
        <v>781150.63500000001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</row>
    <row r="8" spans="1:316" s="15" customFormat="1" ht="15" thickBot="1" x14ac:dyDescent="0.35">
      <c r="A8" s="29" t="s">
        <v>126</v>
      </c>
      <c r="B8" s="64">
        <v>2</v>
      </c>
      <c r="C8" s="65">
        <v>39879</v>
      </c>
      <c r="D8" s="65">
        <v>52161.73</v>
      </c>
      <c r="E8" s="25">
        <f t="shared" si="0"/>
        <v>104323.46</v>
      </c>
      <c r="F8" s="4"/>
      <c r="G8" s="4"/>
      <c r="H8" s="98">
        <v>7</v>
      </c>
      <c r="I8" s="97" t="s">
        <v>139</v>
      </c>
      <c r="J8" s="97"/>
      <c r="K8" s="96">
        <f>IFERROR((K7-K6)/K6,"sin valor")</f>
        <v>7.3981155471621277E-2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</row>
    <row r="9" spans="1:316" x14ac:dyDescent="0.3">
      <c r="A9" s="32" t="s">
        <v>127</v>
      </c>
      <c r="B9" s="67">
        <v>4</v>
      </c>
      <c r="C9" s="68">
        <v>25872</v>
      </c>
      <c r="D9" s="68">
        <v>33840.58</v>
      </c>
      <c r="E9" s="78">
        <f t="shared" si="0"/>
        <v>135362.32</v>
      </c>
      <c r="F9" s="4"/>
      <c r="G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</row>
    <row r="10" spans="1:316" s="15" customFormat="1" ht="15" thickBot="1" x14ac:dyDescent="0.35">
      <c r="A10" s="29" t="s">
        <v>128</v>
      </c>
      <c r="B10" s="64">
        <v>1</v>
      </c>
      <c r="C10" s="65">
        <v>26849</v>
      </c>
      <c r="D10" s="65">
        <v>35118.49</v>
      </c>
      <c r="E10" s="25">
        <f t="shared" si="0"/>
        <v>35118.49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</row>
    <row r="11" spans="1:316" ht="15" thickBot="1" x14ac:dyDescent="0.35">
      <c r="A11" s="95" t="s">
        <v>116</v>
      </c>
      <c r="B11" s="94">
        <f>SUM(B2:B10)</f>
        <v>13</v>
      </c>
      <c r="C11" s="94"/>
      <c r="D11" s="94"/>
      <c r="E11" s="93">
        <f>SUM(E2:E10)</f>
        <v>611987.34000000008</v>
      </c>
      <c r="F11" s="4"/>
      <c r="G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</row>
    <row r="12" spans="1:316" x14ac:dyDescent="0.3">
      <c r="F12" s="4"/>
      <c r="G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</row>
    <row r="13" spans="1:316" ht="15" thickBot="1" x14ac:dyDescent="0.35">
      <c r="A13" s="3"/>
      <c r="B13" s="4"/>
      <c r="C13" s="4"/>
      <c r="D13" s="4"/>
      <c r="E13" s="4"/>
      <c r="F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</row>
    <row r="14" spans="1:316" s="15" customFormat="1" x14ac:dyDescent="0.3">
      <c r="A14" s="81" t="s">
        <v>122</v>
      </c>
      <c r="B14" s="92" t="s">
        <v>116</v>
      </c>
      <c r="C14" s="74" t="s">
        <v>117</v>
      </c>
      <c r="D14" s="92" t="s">
        <v>140</v>
      </c>
      <c r="E14" s="74" t="s">
        <v>141</v>
      </c>
      <c r="F14" s="91" t="s">
        <v>142</v>
      </c>
      <c r="G14"/>
      <c r="H14"/>
      <c r="I14"/>
      <c r="J14"/>
      <c r="K1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</row>
    <row r="15" spans="1:316" x14ac:dyDescent="0.3">
      <c r="A15" s="32" t="s">
        <v>123</v>
      </c>
      <c r="B15" s="31">
        <f t="shared" ref="B15:B23" si="1">D2</f>
        <v>91781.35</v>
      </c>
      <c r="C15" s="90">
        <v>0</v>
      </c>
      <c r="D15" s="31">
        <f t="shared" ref="D15:D23" si="2">ROUND(B15*C15,2)</f>
        <v>0</v>
      </c>
      <c r="E15" s="89">
        <f t="shared" ref="E15:E23" si="3">1-C15</f>
        <v>1</v>
      </c>
      <c r="F15" s="78">
        <f t="shared" ref="F15:F23" si="4">ROUND(B15*E15,2)</f>
        <v>91781.35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</row>
    <row r="16" spans="1:316" s="15" customFormat="1" x14ac:dyDescent="0.3">
      <c r="A16" s="29" t="s">
        <v>109</v>
      </c>
      <c r="B16" s="28">
        <f t="shared" si="1"/>
        <v>53039.4</v>
      </c>
      <c r="C16" s="88">
        <v>0.65</v>
      </c>
      <c r="D16" s="28">
        <f t="shared" si="2"/>
        <v>34475.61</v>
      </c>
      <c r="E16" s="87">
        <f t="shared" si="3"/>
        <v>0.35</v>
      </c>
      <c r="F16" s="25">
        <f t="shared" si="4"/>
        <v>18563.79</v>
      </c>
      <c r="G16"/>
      <c r="H16"/>
      <c r="I16"/>
      <c r="J16"/>
      <c r="K16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</row>
    <row r="17" spans="1:316" x14ac:dyDescent="0.3">
      <c r="A17" s="32" t="s">
        <v>124</v>
      </c>
      <c r="B17" s="31">
        <f t="shared" si="1"/>
        <v>32876.58</v>
      </c>
      <c r="C17" s="90">
        <v>0.5</v>
      </c>
      <c r="D17" s="31">
        <f t="shared" si="2"/>
        <v>16438.29</v>
      </c>
      <c r="E17" s="89">
        <f t="shared" si="3"/>
        <v>0.5</v>
      </c>
      <c r="F17" s="78">
        <f t="shared" si="4"/>
        <v>16438.29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</row>
    <row r="18" spans="1:316" s="15" customFormat="1" x14ac:dyDescent="0.3">
      <c r="A18" s="29" t="s">
        <v>125</v>
      </c>
      <c r="B18" s="28">
        <f t="shared" si="1"/>
        <v>46530.79</v>
      </c>
      <c r="C18" s="88">
        <v>0.8</v>
      </c>
      <c r="D18" s="28">
        <f t="shared" si="2"/>
        <v>37224.629999999997</v>
      </c>
      <c r="E18" s="87">
        <f t="shared" si="3"/>
        <v>0.19999999999999996</v>
      </c>
      <c r="F18" s="25">
        <f t="shared" si="4"/>
        <v>9306.16</v>
      </c>
      <c r="G18"/>
      <c r="H18"/>
      <c r="I18"/>
      <c r="J18"/>
      <c r="K18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</row>
    <row r="19" spans="1:316" x14ac:dyDescent="0.3">
      <c r="A19" s="32" t="s">
        <v>112</v>
      </c>
      <c r="B19" s="31">
        <f t="shared" si="1"/>
        <v>54920.3</v>
      </c>
      <c r="C19" s="90">
        <v>0.85</v>
      </c>
      <c r="D19" s="31">
        <f t="shared" si="2"/>
        <v>46682.26</v>
      </c>
      <c r="E19" s="89">
        <f t="shared" si="3"/>
        <v>0.15000000000000002</v>
      </c>
      <c r="F19" s="78">
        <f t="shared" si="4"/>
        <v>8238.0499999999993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</row>
    <row r="20" spans="1:316" s="15" customFormat="1" x14ac:dyDescent="0.3">
      <c r="A20" s="29" t="s">
        <v>113</v>
      </c>
      <c r="B20" s="28">
        <f t="shared" si="1"/>
        <v>58034.65</v>
      </c>
      <c r="C20" s="88">
        <v>0.75</v>
      </c>
      <c r="D20" s="28">
        <f t="shared" si="2"/>
        <v>43525.99</v>
      </c>
      <c r="E20" s="87">
        <f t="shared" si="3"/>
        <v>0.25</v>
      </c>
      <c r="F20" s="25">
        <f t="shared" si="4"/>
        <v>14508.66</v>
      </c>
      <c r="G20"/>
      <c r="H20"/>
      <c r="I20"/>
      <c r="J20"/>
      <c r="K20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</row>
    <row r="21" spans="1:316" x14ac:dyDescent="0.3">
      <c r="A21" s="32" t="s">
        <v>126</v>
      </c>
      <c r="B21" s="31">
        <f t="shared" si="1"/>
        <v>52161.73</v>
      </c>
      <c r="C21" s="90">
        <v>0.85</v>
      </c>
      <c r="D21" s="31">
        <f t="shared" si="2"/>
        <v>44337.47</v>
      </c>
      <c r="E21" s="89">
        <f t="shared" si="3"/>
        <v>0.15000000000000002</v>
      </c>
      <c r="F21" s="78">
        <f t="shared" si="4"/>
        <v>7824.26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</row>
    <row r="22" spans="1:316" s="15" customFormat="1" x14ac:dyDescent="0.3">
      <c r="A22" s="29" t="s">
        <v>127</v>
      </c>
      <c r="B22" s="28">
        <f t="shared" si="1"/>
        <v>33840.58</v>
      </c>
      <c r="C22" s="88">
        <v>0.7</v>
      </c>
      <c r="D22" s="28">
        <f t="shared" si="2"/>
        <v>23688.41</v>
      </c>
      <c r="E22" s="87">
        <f t="shared" si="3"/>
        <v>0.30000000000000004</v>
      </c>
      <c r="F22" s="25">
        <f t="shared" si="4"/>
        <v>10152.17</v>
      </c>
      <c r="G22"/>
      <c r="H22"/>
      <c r="I22"/>
      <c r="J22"/>
      <c r="K22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</row>
    <row r="23" spans="1:316" ht="15" thickBot="1" x14ac:dyDescent="0.35">
      <c r="A23" s="24" t="s">
        <v>128</v>
      </c>
      <c r="B23" s="23">
        <f t="shared" si="1"/>
        <v>35118.49</v>
      </c>
      <c r="C23" s="86">
        <v>0</v>
      </c>
      <c r="D23" s="23">
        <f t="shared" si="2"/>
        <v>0</v>
      </c>
      <c r="E23" s="85">
        <f t="shared" si="3"/>
        <v>1</v>
      </c>
      <c r="F23" s="84">
        <f t="shared" si="4"/>
        <v>35118.49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</row>
    <row r="24" spans="1:316" s="15" customFormat="1" ht="15" thickBot="1" x14ac:dyDescent="0.35">
      <c r="A24" s="19" t="s">
        <v>116</v>
      </c>
      <c r="B24" s="83">
        <f>SUM(B15:B23)</f>
        <v>458303.87000000005</v>
      </c>
      <c r="C24" s="18"/>
      <c r="D24" s="83">
        <f>SUM(D15:D23)</f>
        <v>246372.66</v>
      </c>
      <c r="E24" s="18"/>
      <c r="F24" s="82">
        <f>SUM(F15:F23)</f>
        <v>211931.22000000003</v>
      </c>
      <c r="G24"/>
      <c r="H24"/>
      <c r="I24"/>
      <c r="J24"/>
      <c r="K2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</row>
    <row r="25" spans="1:316" ht="15" thickBot="1" x14ac:dyDescent="0.35">
      <c r="A25" s="3"/>
      <c r="B25" s="4"/>
      <c r="C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</row>
    <row r="26" spans="1:316" s="15" customFormat="1" x14ac:dyDescent="0.3">
      <c r="A26" s="81" t="s">
        <v>143</v>
      </c>
      <c r="B26" s="74" t="s">
        <v>144</v>
      </c>
      <c r="C26" s="73" t="s">
        <v>145</v>
      </c>
      <c r="D26"/>
      <c r="E26"/>
      <c r="F26"/>
      <c r="G26"/>
      <c r="H26"/>
      <c r="I26"/>
      <c r="J26"/>
      <c r="K26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</row>
    <row r="27" spans="1:316" x14ac:dyDescent="0.3">
      <c r="A27" s="79" t="s">
        <v>146</v>
      </c>
      <c r="B27" s="68">
        <v>850</v>
      </c>
      <c r="C27" s="78">
        <f t="shared" ref="C27:C49" si="5">B27*12</f>
        <v>10200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</row>
    <row r="28" spans="1:316" s="15" customFormat="1" x14ac:dyDescent="0.3">
      <c r="A28" s="80" t="s">
        <v>147</v>
      </c>
      <c r="B28" s="65">
        <v>800</v>
      </c>
      <c r="C28" s="25">
        <f t="shared" si="5"/>
        <v>9600</v>
      </c>
      <c r="D28"/>
      <c r="E28"/>
      <c r="F28"/>
      <c r="G28"/>
      <c r="H28"/>
      <c r="I28"/>
      <c r="J28"/>
      <c r="K28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</row>
    <row r="29" spans="1:316" x14ac:dyDescent="0.3">
      <c r="A29" s="79" t="s">
        <v>148</v>
      </c>
      <c r="B29" s="68">
        <v>550</v>
      </c>
      <c r="C29" s="78">
        <f t="shared" si="5"/>
        <v>6600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</row>
    <row r="30" spans="1:316" s="15" customFormat="1" x14ac:dyDescent="0.3">
      <c r="A30" s="80" t="s">
        <v>149</v>
      </c>
      <c r="B30" s="65">
        <v>400</v>
      </c>
      <c r="C30" s="25">
        <f t="shared" si="5"/>
        <v>4800</v>
      </c>
      <c r="D30"/>
      <c r="E30"/>
      <c r="F30"/>
      <c r="G30"/>
      <c r="H30"/>
      <c r="I30"/>
      <c r="J30"/>
      <c r="K30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</row>
    <row r="31" spans="1:316" x14ac:dyDescent="0.3">
      <c r="A31" s="79" t="s">
        <v>150</v>
      </c>
      <c r="B31" s="68">
        <v>120</v>
      </c>
      <c r="C31" s="78">
        <f t="shared" si="5"/>
        <v>1440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</row>
    <row r="32" spans="1:316" s="15" customFormat="1" x14ac:dyDescent="0.3">
      <c r="A32" s="80" t="s">
        <v>151</v>
      </c>
      <c r="B32" s="65">
        <v>1350</v>
      </c>
      <c r="C32" s="25">
        <f t="shared" si="5"/>
        <v>16200</v>
      </c>
      <c r="D32"/>
      <c r="E32"/>
      <c r="F32"/>
      <c r="G32"/>
      <c r="H32"/>
      <c r="I32"/>
      <c r="J32"/>
      <c r="K32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</row>
    <row r="33" spans="1:316" x14ac:dyDescent="0.3">
      <c r="A33" s="79" t="s">
        <v>152</v>
      </c>
      <c r="B33" s="68">
        <v>900</v>
      </c>
      <c r="C33" s="78">
        <f t="shared" si="5"/>
        <v>10800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</row>
    <row r="34" spans="1:316" s="15" customFormat="1" x14ac:dyDescent="0.3">
      <c r="A34" s="80" t="s">
        <v>153</v>
      </c>
      <c r="B34" s="65">
        <v>140</v>
      </c>
      <c r="C34" s="25">
        <f t="shared" si="5"/>
        <v>1680</v>
      </c>
      <c r="D34"/>
      <c r="E34"/>
      <c r="F34"/>
      <c r="G34"/>
      <c r="H34"/>
      <c r="I34"/>
      <c r="J34"/>
      <c r="K3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</row>
    <row r="35" spans="1:316" x14ac:dyDescent="0.3">
      <c r="A35" s="79" t="s">
        <v>154</v>
      </c>
      <c r="B35" s="68">
        <v>120</v>
      </c>
      <c r="C35" s="78">
        <f t="shared" si="5"/>
        <v>1440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</row>
    <row r="36" spans="1:316" s="15" customFormat="1" x14ac:dyDescent="0.3">
      <c r="A36" s="80" t="s">
        <v>155</v>
      </c>
      <c r="B36" s="65">
        <v>120</v>
      </c>
      <c r="C36" s="25">
        <f t="shared" si="5"/>
        <v>1440</v>
      </c>
      <c r="D36"/>
      <c r="E36"/>
      <c r="F36"/>
      <c r="G36"/>
      <c r="H36"/>
      <c r="I36"/>
      <c r="J36"/>
      <c r="K36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</row>
    <row r="37" spans="1:316" x14ac:dyDescent="0.3">
      <c r="A37" s="79" t="s">
        <v>156</v>
      </c>
      <c r="B37" s="68">
        <v>180</v>
      </c>
      <c r="C37" s="78">
        <f t="shared" si="5"/>
        <v>2160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</row>
    <row r="38" spans="1:316" s="15" customFormat="1" x14ac:dyDescent="0.3">
      <c r="A38" s="80" t="s">
        <v>157</v>
      </c>
      <c r="B38" s="65">
        <v>55</v>
      </c>
      <c r="C38" s="25">
        <f t="shared" si="5"/>
        <v>660</v>
      </c>
      <c r="D38"/>
      <c r="E38"/>
      <c r="F38"/>
      <c r="G38"/>
      <c r="H38"/>
      <c r="I38"/>
      <c r="J38"/>
      <c r="K38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</row>
    <row r="39" spans="1:316" x14ac:dyDescent="0.3">
      <c r="A39" s="79" t="s">
        <v>158</v>
      </c>
      <c r="B39" s="68">
        <v>400</v>
      </c>
      <c r="C39" s="78">
        <f t="shared" si="5"/>
        <v>4800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</row>
    <row r="40" spans="1:316" s="15" customFormat="1" x14ac:dyDescent="0.3">
      <c r="A40" s="80" t="s">
        <v>159</v>
      </c>
      <c r="B40" s="65">
        <v>300</v>
      </c>
      <c r="C40" s="25">
        <f t="shared" si="5"/>
        <v>3600</v>
      </c>
      <c r="D40"/>
      <c r="E40"/>
      <c r="F40"/>
      <c r="G40"/>
      <c r="H40"/>
      <c r="I40"/>
      <c r="J40"/>
      <c r="K40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</row>
    <row r="41" spans="1:316" x14ac:dyDescent="0.3">
      <c r="A41" s="79" t="s">
        <v>160</v>
      </c>
      <c r="B41" s="68">
        <v>150</v>
      </c>
      <c r="C41" s="78">
        <f t="shared" si="5"/>
        <v>1800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</row>
    <row r="42" spans="1:316" s="15" customFormat="1" x14ac:dyDescent="0.3">
      <c r="A42" s="80" t="s">
        <v>161</v>
      </c>
      <c r="B42" s="65">
        <v>500</v>
      </c>
      <c r="C42" s="25">
        <f t="shared" si="5"/>
        <v>6000</v>
      </c>
      <c r="D42"/>
      <c r="E42"/>
      <c r="F42"/>
      <c r="G42"/>
      <c r="H42"/>
      <c r="I42"/>
      <c r="J42"/>
      <c r="K42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</row>
    <row r="43" spans="1:316" x14ac:dyDescent="0.3">
      <c r="A43" s="79" t="s">
        <v>162</v>
      </c>
      <c r="B43" s="68">
        <v>350</v>
      </c>
      <c r="C43" s="78">
        <f t="shared" si="5"/>
        <v>4200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</row>
    <row r="44" spans="1:316" s="15" customFormat="1" x14ac:dyDescent="0.3">
      <c r="A44" s="80" t="s">
        <v>163</v>
      </c>
      <c r="B44" s="65">
        <v>300</v>
      </c>
      <c r="C44" s="25">
        <f t="shared" si="5"/>
        <v>3600</v>
      </c>
      <c r="D44"/>
      <c r="E44"/>
      <c r="F44"/>
      <c r="G44"/>
      <c r="H44"/>
      <c r="I44"/>
      <c r="J44"/>
      <c r="K4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</row>
    <row r="45" spans="1:316" x14ac:dyDescent="0.3">
      <c r="A45" s="79" t="s">
        <v>164</v>
      </c>
      <c r="B45" s="68">
        <v>200</v>
      </c>
      <c r="C45" s="78">
        <f t="shared" si="5"/>
        <v>2400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</row>
    <row r="46" spans="1:316" s="15" customFormat="1" x14ac:dyDescent="0.3">
      <c r="A46" s="80" t="s">
        <v>165</v>
      </c>
      <c r="B46" s="65">
        <v>50</v>
      </c>
      <c r="C46" s="25">
        <f t="shared" si="5"/>
        <v>600</v>
      </c>
      <c r="D46"/>
      <c r="E46"/>
      <c r="F46"/>
      <c r="G46"/>
      <c r="H46"/>
      <c r="I46"/>
      <c r="J46"/>
      <c r="K46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</row>
    <row r="47" spans="1:316" x14ac:dyDescent="0.3">
      <c r="A47" s="79" t="s">
        <v>166</v>
      </c>
      <c r="B47" s="68">
        <v>150</v>
      </c>
      <c r="C47" s="78">
        <f t="shared" si="5"/>
        <v>1800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</row>
    <row r="48" spans="1:316" s="15" customFormat="1" x14ac:dyDescent="0.3">
      <c r="A48" s="80" t="s">
        <v>167</v>
      </c>
      <c r="B48" s="65">
        <v>250</v>
      </c>
      <c r="C48" s="25">
        <f t="shared" si="5"/>
        <v>3000</v>
      </c>
      <c r="D48"/>
      <c r="E48"/>
      <c r="F48"/>
      <c r="G48"/>
      <c r="H48"/>
      <c r="I48"/>
      <c r="J48"/>
      <c r="K48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</row>
    <row r="49" spans="1:316" ht="15" thickBot="1" x14ac:dyDescent="0.35">
      <c r="A49" s="79" t="s">
        <v>168</v>
      </c>
      <c r="B49" s="68">
        <v>685</v>
      </c>
      <c r="C49" s="78">
        <f t="shared" si="5"/>
        <v>8220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</row>
    <row r="50" spans="1:316" s="15" customFormat="1" ht="15" thickBot="1" x14ac:dyDescent="0.35">
      <c r="A50" s="77" t="s">
        <v>4</v>
      </c>
      <c r="B50" s="76"/>
      <c r="C50" s="75">
        <f>SUM(C27:C49)</f>
        <v>107040</v>
      </c>
      <c r="D50"/>
      <c r="E50"/>
      <c r="F50"/>
      <c r="G50"/>
      <c r="H50"/>
      <c r="I50"/>
      <c r="J50"/>
      <c r="K50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  <c r="KK50" s="4"/>
      <c r="KL50" s="4"/>
      <c r="KM50" s="4"/>
      <c r="KN50" s="4"/>
      <c r="KO50" s="4"/>
      <c r="KP50" s="4"/>
      <c r="KQ50" s="4"/>
      <c r="KR50" s="4"/>
      <c r="KS50" s="4"/>
      <c r="KT50" s="4"/>
      <c r="KU50" s="4"/>
      <c r="KV50" s="4"/>
      <c r="KW50" s="4"/>
      <c r="KX50" s="4"/>
      <c r="KY50" s="4"/>
      <c r="KZ50" s="4"/>
      <c r="LA50" s="4"/>
      <c r="LB50" s="4"/>
      <c r="LC50" s="4"/>
      <c r="LD50" s="4"/>
    </row>
    <row r="51" spans="1:316" ht="15" thickBot="1" x14ac:dyDescent="0.35">
      <c r="D51" s="4"/>
      <c r="E51" s="4"/>
      <c r="F51" s="4"/>
      <c r="G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  <c r="KK51" s="4"/>
      <c r="KL51" s="4"/>
      <c r="KM51" s="4"/>
      <c r="KN51" s="4"/>
      <c r="KO51" s="4"/>
      <c r="KP51" s="4"/>
      <c r="KQ51" s="4"/>
      <c r="KR51" s="4"/>
      <c r="KS51" s="4"/>
      <c r="KT51" s="4"/>
      <c r="KU51" s="4"/>
      <c r="KV51" s="4"/>
      <c r="KW51" s="4"/>
      <c r="KX51" s="4"/>
      <c r="KY51" s="4"/>
      <c r="KZ51" s="4"/>
      <c r="LA51" s="4"/>
      <c r="LB51" s="4"/>
      <c r="LC51" s="4"/>
      <c r="LD51" s="4"/>
    </row>
    <row r="52" spans="1:316" s="15" customFormat="1" x14ac:dyDescent="0.3">
      <c r="A52" s="74" t="s">
        <v>169</v>
      </c>
      <c r="B52" s="74" t="s">
        <v>17</v>
      </c>
      <c r="C52" s="74" t="s">
        <v>18</v>
      </c>
      <c r="D52" s="74" t="s">
        <v>170</v>
      </c>
      <c r="E52" s="74" t="s">
        <v>145</v>
      </c>
      <c r="F52" s="74" t="s">
        <v>171</v>
      </c>
      <c r="G52" s="73" t="s">
        <v>172</v>
      </c>
      <c r="H52"/>
      <c r="I52"/>
      <c r="J52"/>
      <c r="K52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  <c r="KK52" s="4"/>
      <c r="KL52" s="4"/>
      <c r="KM52" s="4"/>
      <c r="KN52" s="4"/>
      <c r="KO52" s="4"/>
      <c r="KP52" s="4"/>
      <c r="KQ52" s="4"/>
      <c r="KR52" s="4"/>
      <c r="KS52" s="4"/>
      <c r="KT52" s="4"/>
      <c r="KU52" s="4"/>
      <c r="KV52" s="4"/>
      <c r="KW52" s="4"/>
      <c r="KX52" s="4"/>
      <c r="KY52" s="4"/>
      <c r="KZ52" s="4"/>
      <c r="LA52" s="4"/>
      <c r="LB52" s="4"/>
      <c r="LC52" s="4"/>
      <c r="LD52" s="4"/>
    </row>
    <row r="53" spans="1:316" x14ac:dyDescent="0.3">
      <c r="A53" s="32" t="s">
        <v>175</v>
      </c>
      <c r="B53" s="67">
        <v>1</v>
      </c>
      <c r="C53" s="68">
        <v>8000</v>
      </c>
      <c r="D53" s="31">
        <f t="shared" ref="D53:D60" si="6">C53*B53</f>
        <v>8000</v>
      </c>
      <c r="E53" s="31">
        <f>D53</f>
        <v>8000</v>
      </c>
      <c r="F53" s="67" t="s">
        <v>173</v>
      </c>
      <c r="G53" s="66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  <c r="KK53" s="4"/>
      <c r="KL53" s="4"/>
      <c r="KM53" s="4"/>
      <c r="KN53" s="4"/>
      <c r="KO53" s="4"/>
      <c r="KP53" s="4"/>
      <c r="KQ53" s="4"/>
      <c r="KR53" s="4"/>
      <c r="KS53" s="4"/>
      <c r="KT53" s="4"/>
      <c r="KU53" s="4"/>
      <c r="KV53" s="4"/>
      <c r="KW53" s="4"/>
      <c r="KX53" s="4"/>
      <c r="KY53" s="4"/>
      <c r="KZ53" s="4"/>
      <c r="LA53" s="4"/>
      <c r="LB53" s="4"/>
      <c r="LC53" s="4"/>
      <c r="LD53" s="4"/>
    </row>
    <row r="54" spans="1:316" s="15" customFormat="1" x14ac:dyDescent="0.3">
      <c r="A54" s="29" t="s">
        <v>176</v>
      </c>
      <c r="B54" s="64">
        <v>3</v>
      </c>
      <c r="C54" s="65">
        <v>1000</v>
      </c>
      <c r="D54" s="28">
        <f t="shared" si="6"/>
        <v>3000</v>
      </c>
      <c r="E54" s="28">
        <f>D54/G54</f>
        <v>750</v>
      </c>
      <c r="F54" s="70" t="s">
        <v>174</v>
      </c>
      <c r="G54" s="69">
        <v>4</v>
      </c>
      <c r="H54"/>
      <c r="I54"/>
      <c r="J54"/>
      <c r="K5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</row>
    <row r="55" spans="1:316" x14ac:dyDescent="0.3">
      <c r="A55" s="32" t="s">
        <v>177</v>
      </c>
      <c r="B55" s="67">
        <v>6</v>
      </c>
      <c r="C55" s="68">
        <v>1400</v>
      </c>
      <c r="D55" s="31">
        <f t="shared" si="6"/>
        <v>8400</v>
      </c>
      <c r="E55" s="31">
        <f>D55/G55</f>
        <v>2100</v>
      </c>
      <c r="F55" s="72" t="s">
        <v>174</v>
      </c>
      <c r="G55" s="71">
        <v>4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</row>
    <row r="56" spans="1:316" s="15" customFormat="1" x14ac:dyDescent="0.3">
      <c r="A56" s="29" t="s">
        <v>178</v>
      </c>
      <c r="B56" s="64">
        <v>5</v>
      </c>
      <c r="C56" s="65">
        <v>1500</v>
      </c>
      <c r="D56" s="28">
        <f t="shared" si="6"/>
        <v>7500</v>
      </c>
      <c r="E56" s="28">
        <f>D56/G56</f>
        <v>1875</v>
      </c>
      <c r="F56" s="70" t="s">
        <v>174</v>
      </c>
      <c r="G56" s="69">
        <v>4</v>
      </c>
      <c r="H56"/>
      <c r="I56"/>
      <c r="J56"/>
      <c r="K56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  <c r="KK56" s="4"/>
      <c r="KL56" s="4"/>
      <c r="KM56" s="4"/>
      <c r="KN56" s="4"/>
      <c r="KO56" s="4"/>
      <c r="KP56" s="4"/>
      <c r="KQ56" s="4"/>
      <c r="KR56" s="4"/>
      <c r="KS56" s="4"/>
      <c r="KT56" s="4"/>
      <c r="KU56" s="4"/>
      <c r="KV56" s="4"/>
      <c r="KW56" s="4"/>
      <c r="KX56" s="4"/>
      <c r="KY56" s="4"/>
      <c r="KZ56" s="4"/>
      <c r="LA56" s="4"/>
      <c r="LB56" s="4"/>
      <c r="LC56" s="4"/>
      <c r="LD56" s="4"/>
    </row>
    <row r="57" spans="1:316" x14ac:dyDescent="0.3">
      <c r="A57" s="32" t="s">
        <v>179</v>
      </c>
      <c r="B57" s="67">
        <v>10</v>
      </c>
      <c r="C57" s="68">
        <v>200</v>
      </c>
      <c r="D57" s="31">
        <f t="shared" si="6"/>
        <v>2000</v>
      </c>
      <c r="E57" s="31">
        <f>D57</f>
        <v>2000</v>
      </c>
      <c r="F57" s="67" t="s">
        <v>173</v>
      </c>
      <c r="G57" s="66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  <c r="KK57" s="4"/>
      <c r="KL57" s="4"/>
      <c r="KM57" s="4"/>
      <c r="KN57" s="4"/>
      <c r="KO57" s="4"/>
      <c r="KP57" s="4"/>
      <c r="KQ57" s="4"/>
      <c r="KR57" s="4"/>
      <c r="KS57" s="4"/>
      <c r="KT57" s="4"/>
      <c r="KU57" s="4"/>
      <c r="KV57" s="4"/>
      <c r="KW57" s="4"/>
      <c r="KX57" s="4"/>
      <c r="KY57" s="4"/>
      <c r="KZ57" s="4"/>
      <c r="LA57" s="4"/>
      <c r="LB57" s="4"/>
      <c r="LC57" s="4"/>
      <c r="LD57" s="4"/>
    </row>
    <row r="58" spans="1:316" s="15" customFormat="1" x14ac:dyDescent="0.3">
      <c r="A58" s="29" t="s">
        <v>180</v>
      </c>
      <c r="B58" s="64">
        <v>1</v>
      </c>
      <c r="C58" s="65">
        <v>99</v>
      </c>
      <c r="D58" s="28">
        <f t="shared" si="6"/>
        <v>99</v>
      </c>
      <c r="E58" s="28">
        <f>D58</f>
        <v>99</v>
      </c>
      <c r="F58" s="64" t="s">
        <v>173</v>
      </c>
      <c r="G58" s="40"/>
      <c r="H58"/>
      <c r="I58"/>
      <c r="J58"/>
      <c r="K58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  <c r="KK58" s="4"/>
      <c r="KL58" s="4"/>
      <c r="KM58" s="4"/>
      <c r="KN58" s="4"/>
      <c r="KO58" s="4"/>
      <c r="KP58" s="4"/>
      <c r="KQ58" s="4"/>
      <c r="KR58" s="4"/>
      <c r="KS58" s="4"/>
      <c r="KT58" s="4"/>
      <c r="KU58" s="4"/>
      <c r="KV58" s="4"/>
      <c r="KW58" s="4"/>
      <c r="KX58" s="4"/>
      <c r="KY58" s="4"/>
      <c r="KZ58" s="4"/>
      <c r="LA58" s="4"/>
      <c r="LB58" s="4"/>
      <c r="LC58" s="4"/>
      <c r="LD58" s="4"/>
    </row>
    <row r="59" spans="1:316" x14ac:dyDescent="0.3">
      <c r="A59" s="32" t="s">
        <v>181</v>
      </c>
      <c r="B59" s="67">
        <v>1</v>
      </c>
      <c r="C59" s="68">
        <v>25</v>
      </c>
      <c r="D59" s="31">
        <f t="shared" si="6"/>
        <v>25</v>
      </c>
      <c r="E59" s="31">
        <f>D59</f>
        <v>25</v>
      </c>
      <c r="F59" s="67" t="s">
        <v>173</v>
      </c>
      <c r="G59" s="66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  <c r="KK59" s="4"/>
      <c r="KL59" s="4"/>
      <c r="KM59" s="4"/>
      <c r="KN59" s="4"/>
      <c r="KO59" s="4"/>
      <c r="KP59" s="4"/>
      <c r="KQ59" s="4"/>
      <c r="KR59" s="4"/>
      <c r="KS59" s="4"/>
      <c r="KT59" s="4"/>
      <c r="KU59" s="4"/>
      <c r="KV59" s="4"/>
      <c r="KW59" s="4"/>
      <c r="KX59" s="4"/>
      <c r="KY59" s="4"/>
      <c r="KZ59" s="4"/>
      <c r="LA59" s="4"/>
      <c r="LB59" s="4"/>
      <c r="LC59" s="4"/>
      <c r="LD59" s="4"/>
    </row>
    <row r="60" spans="1:316" s="15" customFormat="1" ht="15" thickBot="1" x14ac:dyDescent="0.35">
      <c r="A60" s="29" t="s">
        <v>182</v>
      </c>
      <c r="B60" s="64">
        <v>14</v>
      </c>
      <c r="C60" s="65">
        <v>120</v>
      </c>
      <c r="D60" s="28">
        <f t="shared" si="6"/>
        <v>1680</v>
      </c>
      <c r="E60" s="28">
        <f>D60</f>
        <v>1680</v>
      </c>
      <c r="F60" s="64" t="s">
        <v>173</v>
      </c>
      <c r="G60" s="40"/>
      <c r="H60"/>
      <c r="I60"/>
      <c r="J60"/>
      <c r="K60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  <c r="KK60" s="4"/>
      <c r="KL60" s="4"/>
      <c r="KM60" s="4"/>
      <c r="KN60" s="4"/>
      <c r="KO60" s="4"/>
      <c r="KP60" s="4"/>
      <c r="KQ60" s="4"/>
      <c r="KR60" s="4"/>
      <c r="KS60" s="4"/>
      <c r="KT60" s="4"/>
      <c r="KU60" s="4"/>
      <c r="KV60" s="4"/>
      <c r="KW60" s="4"/>
      <c r="KX60" s="4"/>
      <c r="KY60" s="4"/>
      <c r="KZ60" s="4"/>
      <c r="LA60" s="4"/>
      <c r="LB60" s="4"/>
      <c r="LC60" s="4"/>
      <c r="LD60" s="4"/>
    </row>
    <row r="61" spans="1:316" ht="15" thickBot="1" x14ac:dyDescent="0.35">
      <c r="A61" s="63" t="s">
        <v>4</v>
      </c>
      <c r="B61" s="61"/>
      <c r="C61" s="61"/>
      <c r="D61" s="62">
        <f>SUM(D54:D60)</f>
        <v>22704</v>
      </c>
      <c r="E61" s="62">
        <f>SUM(E53:E60)</f>
        <v>16529</v>
      </c>
      <c r="F61" s="61"/>
      <c r="G61" s="60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  <c r="KK61" s="4"/>
      <c r="KL61" s="4"/>
      <c r="KM61" s="4"/>
      <c r="KN61" s="4"/>
      <c r="KO61" s="4"/>
      <c r="KP61" s="4"/>
      <c r="KQ61" s="4"/>
      <c r="KR61" s="4"/>
      <c r="KS61" s="4"/>
      <c r="KT61" s="4"/>
      <c r="KU61" s="4"/>
      <c r="KV61" s="4"/>
      <c r="KW61" s="4"/>
      <c r="KX61" s="4"/>
      <c r="KY61" s="4"/>
      <c r="KZ61" s="4"/>
      <c r="LA61" s="4"/>
      <c r="LB61" s="4"/>
      <c r="LC61" s="4"/>
      <c r="LD61" s="4"/>
    </row>
    <row r="62" spans="1:316" ht="15" thickBot="1" x14ac:dyDescent="0.35">
      <c r="A62" s="3"/>
      <c r="B62" s="4"/>
      <c r="C62" s="4"/>
      <c r="D62" s="4"/>
      <c r="E62" s="4"/>
      <c r="F62" s="4"/>
      <c r="G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</row>
    <row r="63" spans="1:316" ht="43.2" x14ac:dyDescent="0.3">
      <c r="A63" s="59" t="s">
        <v>122</v>
      </c>
      <c r="B63" s="58" t="s">
        <v>117</v>
      </c>
      <c r="C63" s="58" t="s">
        <v>183</v>
      </c>
      <c r="D63" s="58" t="s">
        <v>184</v>
      </c>
      <c r="E63" s="57" t="s">
        <v>185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  <c r="KK63" s="4"/>
      <c r="KL63" s="4"/>
      <c r="KM63" s="4"/>
      <c r="KN63" s="4"/>
      <c r="KO63" s="4"/>
      <c r="KP63" s="4"/>
      <c r="KQ63" s="4"/>
      <c r="KR63" s="4"/>
      <c r="KS63" s="4"/>
      <c r="KT63" s="4"/>
      <c r="KU63" s="4"/>
      <c r="KV63" s="4"/>
      <c r="KW63" s="4"/>
      <c r="KX63" s="4"/>
      <c r="KY63" s="4"/>
      <c r="KZ63" s="4"/>
      <c r="LA63" s="4"/>
      <c r="LB63" s="4"/>
      <c r="LC63" s="4"/>
      <c r="LD63" s="4"/>
    </row>
    <row r="64" spans="1:316" s="15" customFormat="1" x14ac:dyDescent="0.3">
      <c r="A64" s="29" t="s">
        <v>123</v>
      </c>
      <c r="B64" s="56">
        <f t="shared" ref="B64:B72" si="7">C15</f>
        <v>0</v>
      </c>
      <c r="C64" s="54"/>
      <c r="D64" s="54"/>
      <c r="E64" s="53">
        <f t="shared" ref="E64:E72" si="8">D64*B2</f>
        <v>0</v>
      </c>
      <c r="F64"/>
      <c r="G64"/>
      <c r="H64"/>
      <c r="I64"/>
      <c r="J64"/>
      <c r="K6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  <c r="KK64" s="4"/>
      <c r="KL64" s="4"/>
      <c r="KM64" s="4"/>
      <c r="KN64" s="4"/>
      <c r="KO64" s="4"/>
      <c r="KP64" s="4"/>
      <c r="KQ64" s="4"/>
      <c r="KR64" s="4"/>
      <c r="KS64" s="4"/>
      <c r="KT64" s="4"/>
      <c r="KU64" s="4"/>
      <c r="KV64" s="4"/>
      <c r="KW64" s="4"/>
      <c r="KX64" s="4"/>
      <c r="KY64" s="4"/>
      <c r="KZ64" s="4"/>
      <c r="LA64" s="4"/>
      <c r="LB64" s="4"/>
      <c r="LC64" s="4"/>
      <c r="LD64" s="4"/>
    </row>
    <row r="65" spans="1:316" x14ac:dyDescent="0.3">
      <c r="A65" s="32" t="s">
        <v>109</v>
      </c>
      <c r="B65" s="52">
        <f t="shared" si="7"/>
        <v>0.65</v>
      </c>
      <c r="C65" s="51">
        <v>2008</v>
      </c>
      <c r="D65" s="3">
        <f t="shared" ref="D65:D71" si="9">C65*B65</f>
        <v>1305.2</v>
      </c>
      <c r="E65" s="50">
        <f t="shared" si="8"/>
        <v>1305.2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  <c r="KK65" s="4"/>
      <c r="KL65" s="4"/>
      <c r="KM65" s="4"/>
      <c r="KN65" s="4"/>
      <c r="KO65" s="4"/>
      <c r="KP65" s="4"/>
      <c r="KQ65" s="4"/>
      <c r="KR65" s="4"/>
      <c r="KS65" s="4"/>
      <c r="KT65" s="4"/>
      <c r="KU65" s="4"/>
      <c r="KV65" s="4"/>
      <c r="KW65" s="4"/>
      <c r="KX65" s="4"/>
      <c r="KY65" s="4"/>
      <c r="KZ65" s="4"/>
      <c r="LA65" s="4"/>
      <c r="LB65" s="4"/>
      <c r="LC65" s="4"/>
      <c r="LD65" s="4"/>
    </row>
    <row r="66" spans="1:316" s="15" customFormat="1" x14ac:dyDescent="0.3">
      <c r="A66" s="29" t="s">
        <v>124</v>
      </c>
      <c r="B66" s="56">
        <f t="shared" si="7"/>
        <v>0.5</v>
      </c>
      <c r="C66" s="55">
        <v>2008</v>
      </c>
      <c r="D66" s="54">
        <f t="shared" si="9"/>
        <v>1004</v>
      </c>
      <c r="E66" s="53">
        <f t="shared" si="8"/>
        <v>1004</v>
      </c>
      <c r="F66"/>
      <c r="G66"/>
      <c r="H66"/>
      <c r="I66"/>
      <c r="J66"/>
      <c r="K66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  <c r="KK66" s="4"/>
      <c r="KL66" s="4"/>
      <c r="KM66" s="4"/>
      <c r="KN66" s="4"/>
      <c r="KO66" s="4"/>
      <c r="KP66" s="4"/>
      <c r="KQ66" s="4"/>
      <c r="KR66" s="4"/>
      <c r="KS66" s="4"/>
      <c r="KT66" s="4"/>
      <c r="KU66" s="4"/>
      <c r="KV66" s="4"/>
      <c r="KW66" s="4"/>
      <c r="KX66" s="4"/>
      <c r="KY66" s="4"/>
      <c r="KZ66" s="4"/>
      <c r="LA66" s="4"/>
      <c r="LB66" s="4"/>
      <c r="LC66" s="4"/>
      <c r="LD66" s="4"/>
    </row>
    <row r="67" spans="1:316" x14ac:dyDescent="0.3">
      <c r="A67" s="32" t="s">
        <v>125</v>
      </c>
      <c r="B67" s="52">
        <f t="shared" si="7"/>
        <v>0.8</v>
      </c>
      <c r="C67" s="51">
        <v>2008</v>
      </c>
      <c r="D67" s="3">
        <f t="shared" si="9"/>
        <v>1606.4</v>
      </c>
      <c r="E67" s="50">
        <f t="shared" si="8"/>
        <v>1606.4</v>
      </c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  <c r="KK67" s="4"/>
      <c r="KL67" s="4"/>
      <c r="KM67" s="4"/>
      <c r="KN67" s="4"/>
      <c r="KO67" s="4"/>
      <c r="KP67" s="4"/>
      <c r="KQ67" s="4"/>
      <c r="KR67" s="4"/>
      <c r="KS67" s="4"/>
      <c r="KT67" s="4"/>
      <c r="KU67" s="4"/>
      <c r="KV67" s="4"/>
      <c r="KW67" s="4"/>
      <c r="KX67" s="4"/>
      <c r="KY67" s="4"/>
      <c r="KZ67" s="4"/>
      <c r="LA67" s="4"/>
      <c r="LB67" s="4"/>
      <c r="LC67" s="4"/>
      <c r="LD67" s="4"/>
    </row>
    <row r="68" spans="1:316" s="15" customFormat="1" x14ac:dyDescent="0.3">
      <c r="A68" s="29" t="s">
        <v>112</v>
      </c>
      <c r="B68" s="56">
        <f t="shared" si="7"/>
        <v>0.85</v>
      </c>
      <c r="C68" s="55">
        <v>2008</v>
      </c>
      <c r="D68" s="54">
        <f t="shared" si="9"/>
        <v>1706.8</v>
      </c>
      <c r="E68" s="53">
        <f t="shared" si="8"/>
        <v>1706.8</v>
      </c>
      <c r="F68"/>
      <c r="G68"/>
      <c r="H68"/>
      <c r="I68"/>
      <c r="J68"/>
      <c r="K68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  <c r="KK68" s="4"/>
      <c r="KL68" s="4"/>
      <c r="KM68" s="4"/>
      <c r="KN68" s="4"/>
      <c r="KO68" s="4"/>
      <c r="KP68" s="4"/>
      <c r="KQ68" s="4"/>
      <c r="KR68" s="4"/>
      <c r="KS68" s="4"/>
      <c r="KT68" s="4"/>
      <c r="KU68" s="4"/>
      <c r="KV68" s="4"/>
      <c r="KW68" s="4"/>
      <c r="KX68" s="4"/>
      <c r="KY68" s="4"/>
      <c r="KZ68" s="4"/>
      <c r="LA68" s="4"/>
      <c r="LB68" s="4"/>
      <c r="LC68" s="4"/>
      <c r="LD68" s="4"/>
    </row>
    <row r="69" spans="1:316" x14ac:dyDescent="0.3">
      <c r="A69" s="32" t="s">
        <v>113</v>
      </c>
      <c r="B69" s="52">
        <f t="shared" si="7"/>
        <v>0.75</v>
      </c>
      <c r="C69" s="51">
        <v>2008</v>
      </c>
      <c r="D69" s="3">
        <f t="shared" si="9"/>
        <v>1506</v>
      </c>
      <c r="E69" s="50">
        <f t="shared" si="8"/>
        <v>1506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  <c r="KK69" s="4"/>
      <c r="KL69" s="4"/>
      <c r="KM69" s="4"/>
      <c r="KN69" s="4"/>
      <c r="KO69" s="4"/>
      <c r="KP69" s="4"/>
      <c r="KQ69" s="4"/>
      <c r="KR69" s="4"/>
      <c r="KS69" s="4"/>
      <c r="KT69" s="4"/>
      <c r="KU69" s="4"/>
      <c r="KV69" s="4"/>
      <c r="KW69" s="4"/>
      <c r="KX69" s="4"/>
      <c r="KY69" s="4"/>
      <c r="KZ69" s="4"/>
      <c r="LA69" s="4"/>
      <c r="LB69" s="4"/>
      <c r="LC69" s="4"/>
      <c r="LD69" s="4"/>
    </row>
    <row r="70" spans="1:316" s="15" customFormat="1" x14ac:dyDescent="0.3">
      <c r="A70" s="29" t="s">
        <v>126</v>
      </c>
      <c r="B70" s="56">
        <f t="shared" si="7"/>
        <v>0.85</v>
      </c>
      <c r="C70" s="55">
        <v>2008</v>
      </c>
      <c r="D70" s="54">
        <f t="shared" si="9"/>
        <v>1706.8</v>
      </c>
      <c r="E70" s="53">
        <f t="shared" si="8"/>
        <v>3413.6</v>
      </c>
      <c r="F70"/>
      <c r="G70"/>
      <c r="H70"/>
      <c r="I70"/>
      <c r="J70"/>
      <c r="K70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  <c r="KK70" s="4"/>
      <c r="KL70" s="4"/>
      <c r="KM70" s="4"/>
      <c r="KN70" s="4"/>
      <c r="KO70" s="4"/>
      <c r="KP70" s="4"/>
      <c r="KQ70" s="4"/>
      <c r="KR70" s="4"/>
      <c r="KS70" s="4"/>
      <c r="KT70" s="4"/>
      <c r="KU70" s="4"/>
      <c r="KV70" s="4"/>
      <c r="KW70" s="4"/>
      <c r="KX70" s="4"/>
      <c r="KY70" s="4"/>
      <c r="KZ70" s="4"/>
      <c r="LA70" s="4"/>
      <c r="LB70" s="4"/>
      <c r="LC70" s="4"/>
      <c r="LD70" s="4"/>
    </row>
    <row r="71" spans="1:316" x14ac:dyDescent="0.3">
      <c r="A71" s="32" t="s">
        <v>127</v>
      </c>
      <c r="B71" s="52">
        <f t="shared" si="7"/>
        <v>0.7</v>
      </c>
      <c r="C71" s="51">
        <v>2008</v>
      </c>
      <c r="D71" s="3">
        <f t="shared" si="9"/>
        <v>1405.6</v>
      </c>
      <c r="E71" s="50">
        <f t="shared" si="8"/>
        <v>5622.4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</row>
    <row r="72" spans="1:316" s="15" customFormat="1" ht="15" thickBot="1" x14ac:dyDescent="0.35">
      <c r="A72" s="38" t="s">
        <v>128</v>
      </c>
      <c r="B72" s="49">
        <f t="shared" si="7"/>
        <v>0</v>
      </c>
      <c r="C72" s="48"/>
      <c r="D72" s="48"/>
      <c r="E72" s="47">
        <f t="shared" si="8"/>
        <v>0</v>
      </c>
      <c r="F72"/>
      <c r="G72"/>
      <c r="H72"/>
      <c r="I72"/>
      <c r="J72"/>
      <c r="K7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  <c r="KK72" s="4"/>
      <c r="KL72" s="4"/>
      <c r="KM72" s="4"/>
      <c r="KN72" s="4"/>
      <c r="KO72" s="4"/>
      <c r="KP72" s="4"/>
      <c r="KQ72" s="4"/>
      <c r="KR72" s="4"/>
      <c r="KS72" s="4"/>
      <c r="KT72" s="4"/>
      <c r="KU72" s="4"/>
      <c r="KV72" s="4"/>
      <c r="KW72" s="4"/>
      <c r="KX72" s="4"/>
      <c r="KY72" s="4"/>
      <c r="KZ72" s="4"/>
      <c r="LA72" s="4"/>
      <c r="LB72" s="4"/>
      <c r="LC72" s="4"/>
      <c r="LD72" s="4"/>
    </row>
    <row r="73" spans="1:316" ht="15" thickBot="1" x14ac:dyDescent="0.35">
      <c r="A73" s="46" t="s">
        <v>116</v>
      </c>
      <c r="B73" s="45"/>
      <c r="C73" s="45"/>
      <c r="D73" s="44"/>
      <c r="E73" s="43">
        <f>SUM(E64:E72)</f>
        <v>16164.4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</row>
    <row r="74" spans="1:316" ht="15" thickBot="1" x14ac:dyDescent="0.35">
      <c r="A74" s="3"/>
      <c r="B74" s="4"/>
      <c r="C74" s="4"/>
      <c r="D74" s="4"/>
      <c r="E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  <c r="HK74" s="4"/>
      <c r="HL74" s="4"/>
      <c r="HM74" s="4"/>
      <c r="HN74" s="4"/>
      <c r="HO74" s="4"/>
      <c r="HP74" s="4"/>
      <c r="HQ74" s="4"/>
      <c r="HR74" s="4"/>
      <c r="HS74" s="4"/>
      <c r="HT74" s="4"/>
      <c r="HU74" s="4"/>
      <c r="HV74" s="4"/>
      <c r="HW74" s="4"/>
      <c r="HX74" s="4"/>
      <c r="HY74" s="4"/>
      <c r="HZ74" s="4"/>
      <c r="IA74" s="4"/>
      <c r="IB74" s="4"/>
      <c r="IC74" s="4"/>
      <c r="ID74" s="4"/>
      <c r="IE74" s="4"/>
      <c r="IF74" s="4"/>
      <c r="IG74" s="4"/>
      <c r="IH74" s="4"/>
      <c r="II74" s="4"/>
      <c r="IJ74" s="4"/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  <c r="IY74" s="4"/>
      <c r="IZ74" s="4"/>
      <c r="JA74" s="4"/>
      <c r="JB74" s="4"/>
      <c r="JC74" s="4"/>
      <c r="JD74" s="4"/>
      <c r="JE74" s="4"/>
      <c r="JF74" s="4"/>
      <c r="JG74" s="4"/>
      <c r="JH74" s="4"/>
      <c r="JI74" s="4"/>
      <c r="JJ74" s="4"/>
      <c r="JK74" s="4"/>
      <c r="JL74" s="4"/>
      <c r="JM74" s="4"/>
      <c r="JN74" s="4"/>
      <c r="JO74" s="4"/>
      <c r="JP74" s="4"/>
      <c r="JQ74" s="4"/>
      <c r="JR74" s="4"/>
      <c r="JS74" s="4"/>
      <c r="JT74" s="4"/>
      <c r="JU74" s="4"/>
      <c r="JV74" s="4"/>
      <c r="JW74" s="4"/>
      <c r="JX74" s="4"/>
      <c r="JY74" s="4"/>
      <c r="JZ74" s="4"/>
      <c r="KA74" s="4"/>
      <c r="KB74" s="4"/>
      <c r="KC74" s="4"/>
      <c r="KD74" s="4"/>
      <c r="KE74" s="4"/>
      <c r="KF74" s="4"/>
      <c r="KG74" s="4"/>
      <c r="KH74" s="4"/>
      <c r="KI74" s="4"/>
      <c r="KJ74" s="4"/>
      <c r="KK74" s="4"/>
      <c r="KL74" s="4"/>
      <c r="KM74" s="4"/>
      <c r="KN74" s="4"/>
      <c r="KO74" s="4"/>
      <c r="KP74" s="4"/>
      <c r="KQ74" s="4"/>
      <c r="KR74" s="4"/>
      <c r="KS74" s="4"/>
      <c r="KT74" s="4"/>
      <c r="KU74" s="4"/>
      <c r="KV74" s="4"/>
      <c r="KW74" s="4"/>
      <c r="KX74" s="4"/>
      <c r="KY74" s="4"/>
      <c r="KZ74" s="4"/>
      <c r="LA74" s="4"/>
      <c r="LB74" s="4"/>
      <c r="LC74" s="4"/>
      <c r="LD74" s="4"/>
    </row>
    <row r="75" spans="1:316" x14ac:dyDescent="0.3">
      <c r="A75" s="42" t="s">
        <v>186</v>
      </c>
      <c r="B75" s="41">
        <f>E61+C50+F24</f>
        <v>335500.22000000003</v>
      </c>
      <c r="C75" s="4"/>
      <c r="D75" s="4"/>
      <c r="E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  <c r="HK75" s="4"/>
      <c r="HL75" s="4"/>
      <c r="HM75" s="4"/>
      <c r="HN75" s="4"/>
      <c r="HO75" s="4"/>
      <c r="HP75" s="4"/>
      <c r="HQ75" s="4"/>
      <c r="HR75" s="4"/>
      <c r="HS75" s="4"/>
      <c r="HT75" s="4"/>
      <c r="HU75" s="4"/>
      <c r="HV75" s="4"/>
      <c r="HW75" s="4"/>
      <c r="HX75" s="4"/>
      <c r="HY75" s="4"/>
      <c r="HZ75" s="4"/>
      <c r="IA75" s="4"/>
      <c r="IB75" s="4"/>
      <c r="IC75" s="4"/>
      <c r="ID75" s="4"/>
      <c r="IE75" s="4"/>
      <c r="IF75" s="4"/>
      <c r="IG75" s="4"/>
      <c r="IH75" s="4"/>
      <c r="II75" s="4"/>
      <c r="IJ75" s="4"/>
      <c r="IK75" s="4"/>
      <c r="IL75" s="4"/>
      <c r="IM75" s="4"/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  <c r="IY75" s="4"/>
      <c r="IZ75" s="4"/>
      <c r="JA75" s="4"/>
      <c r="JB75" s="4"/>
      <c r="JC75" s="4"/>
      <c r="JD75" s="4"/>
      <c r="JE75" s="4"/>
      <c r="JF75" s="4"/>
      <c r="JG75" s="4"/>
      <c r="JH75" s="4"/>
      <c r="JI75" s="4"/>
      <c r="JJ75" s="4"/>
      <c r="JK75" s="4"/>
      <c r="JL75" s="4"/>
      <c r="JM75" s="4"/>
      <c r="JN75" s="4"/>
      <c r="JO75" s="4"/>
      <c r="JP75" s="4"/>
      <c r="JQ75" s="4"/>
      <c r="JR75" s="4"/>
      <c r="JS75" s="4"/>
      <c r="JT75" s="4"/>
      <c r="JU75" s="4"/>
      <c r="JV75" s="4"/>
      <c r="JW75" s="4"/>
      <c r="JX75" s="4"/>
      <c r="JY75" s="4"/>
      <c r="JZ75" s="4"/>
      <c r="KA75" s="4"/>
      <c r="KB75" s="4"/>
      <c r="KC75" s="4"/>
      <c r="KD75" s="4"/>
      <c r="KE75" s="4"/>
      <c r="KF75" s="4"/>
      <c r="KG75" s="4"/>
      <c r="KH75" s="4"/>
      <c r="KI75" s="4"/>
      <c r="KJ75" s="4"/>
      <c r="KK75" s="4"/>
      <c r="KL75" s="4"/>
      <c r="KM75" s="4"/>
      <c r="KN75" s="4"/>
      <c r="KO75" s="4"/>
      <c r="KP75" s="4"/>
      <c r="KQ75" s="4"/>
      <c r="KR75" s="4"/>
      <c r="KS75" s="4"/>
      <c r="KT75" s="4"/>
      <c r="KU75" s="4"/>
      <c r="KV75" s="4"/>
      <c r="KW75" s="4"/>
      <c r="KX75" s="4"/>
      <c r="KY75" s="4"/>
      <c r="KZ75" s="4"/>
      <c r="LA75" s="4"/>
      <c r="LB75" s="4"/>
      <c r="LC75" s="4"/>
      <c r="LD75" s="4"/>
    </row>
    <row r="76" spans="1:316" s="15" customFormat="1" x14ac:dyDescent="0.3">
      <c r="A76" s="29" t="s">
        <v>187</v>
      </c>
      <c r="B76" s="40">
        <f>SUMIFS(B2:B10,C15:C23,"&gt;0")</f>
        <v>11</v>
      </c>
      <c r="C76"/>
      <c r="D76"/>
      <c r="E76"/>
      <c r="F76"/>
      <c r="G76"/>
      <c r="H76"/>
      <c r="I76"/>
      <c r="J76"/>
      <c r="K76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  <c r="HK76" s="4"/>
      <c r="HL76" s="4"/>
      <c r="HM76" s="4"/>
      <c r="HN76" s="4"/>
      <c r="HO76" s="4"/>
      <c r="HP76" s="4"/>
      <c r="HQ76" s="4"/>
      <c r="HR76" s="4"/>
      <c r="HS76" s="4"/>
      <c r="HT76" s="4"/>
      <c r="HU76" s="4"/>
      <c r="HV76" s="4"/>
      <c r="HW76" s="4"/>
      <c r="HX76" s="4"/>
      <c r="HY76" s="4"/>
      <c r="HZ76" s="4"/>
      <c r="IA76" s="4"/>
      <c r="IB76" s="4"/>
      <c r="IC76" s="4"/>
      <c r="ID76" s="4"/>
      <c r="IE76" s="4"/>
      <c r="IF76" s="4"/>
      <c r="IG76" s="4"/>
      <c r="IH76" s="4"/>
      <c r="II76" s="4"/>
      <c r="IJ76" s="4"/>
      <c r="IK76" s="4"/>
      <c r="IL76" s="4"/>
      <c r="IM76" s="4"/>
      <c r="IN76" s="4"/>
      <c r="IO76" s="4"/>
      <c r="IP76" s="4"/>
      <c r="IQ76" s="4"/>
      <c r="IR76" s="4"/>
      <c r="IS76" s="4"/>
      <c r="IT76" s="4"/>
      <c r="IU76" s="4"/>
      <c r="IV76" s="4"/>
      <c r="IW76" s="4"/>
      <c r="IX76" s="4"/>
      <c r="IY76" s="4"/>
      <c r="IZ76" s="4"/>
      <c r="JA76" s="4"/>
      <c r="JB76" s="4"/>
      <c r="JC76" s="4"/>
      <c r="JD76" s="4"/>
      <c r="JE76" s="4"/>
      <c r="JF76" s="4"/>
      <c r="JG76" s="4"/>
      <c r="JH76" s="4"/>
      <c r="JI76" s="4"/>
      <c r="JJ76" s="4"/>
      <c r="JK76" s="4"/>
      <c r="JL76" s="4"/>
      <c r="JM76" s="4"/>
      <c r="JN76" s="4"/>
      <c r="JO76" s="4"/>
      <c r="JP76" s="4"/>
      <c r="JQ76" s="4"/>
      <c r="JR76" s="4"/>
      <c r="JS76" s="4"/>
      <c r="JT76" s="4"/>
      <c r="JU76" s="4"/>
      <c r="JV76" s="4"/>
      <c r="JW76" s="4"/>
      <c r="JX76" s="4"/>
      <c r="JY76" s="4"/>
      <c r="JZ76" s="4"/>
      <c r="KA76" s="4"/>
      <c r="KB76" s="4"/>
      <c r="KC76" s="4"/>
      <c r="KD76" s="4"/>
      <c r="KE76" s="4"/>
      <c r="KF76" s="4"/>
      <c r="KG76" s="4"/>
      <c r="KH76" s="4"/>
      <c r="KI76" s="4"/>
      <c r="KJ76" s="4"/>
      <c r="KK76" s="4"/>
      <c r="KL76" s="4"/>
      <c r="KM76" s="4"/>
      <c r="KN76" s="4"/>
      <c r="KO76" s="4"/>
      <c r="KP76" s="4"/>
      <c r="KQ76" s="4"/>
      <c r="KR76" s="4"/>
      <c r="KS76" s="4"/>
      <c r="KT76" s="4"/>
      <c r="KU76" s="4"/>
      <c r="KV76" s="4"/>
      <c r="KW76" s="4"/>
      <c r="KX76" s="4"/>
      <c r="KY76" s="4"/>
      <c r="KZ76" s="4"/>
      <c r="LA76" s="4"/>
      <c r="LB76" s="4"/>
      <c r="LC76" s="4"/>
      <c r="LD76" s="4"/>
    </row>
    <row r="77" spans="1:316" ht="28.8" x14ac:dyDescent="0.3">
      <c r="A77" s="32" t="s">
        <v>188</v>
      </c>
      <c r="B77" s="39">
        <f>IFERROR(B75/B76,"sin valor")</f>
        <v>30500.020000000004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  <c r="HK77" s="4"/>
      <c r="HL77" s="4"/>
      <c r="HM77" s="4"/>
      <c r="HN77" s="4"/>
      <c r="HO77" s="4"/>
      <c r="HP77" s="4"/>
      <c r="HQ77" s="4"/>
      <c r="HR77" s="4"/>
      <c r="HS77" s="4"/>
      <c r="HT77" s="4"/>
      <c r="HU77" s="4"/>
      <c r="HV77" s="4"/>
      <c r="HW77" s="4"/>
      <c r="HX77" s="4"/>
      <c r="HY77" s="4"/>
      <c r="HZ77" s="4"/>
      <c r="IA77" s="4"/>
      <c r="IB77" s="4"/>
      <c r="IC77" s="4"/>
      <c r="ID77" s="4"/>
      <c r="IE77" s="4"/>
      <c r="IF77" s="4"/>
      <c r="IG77" s="4"/>
      <c r="IH77" s="4"/>
      <c r="II77" s="4"/>
      <c r="IJ77" s="4"/>
      <c r="IK77" s="4"/>
      <c r="IL77" s="4"/>
      <c r="IM77" s="4"/>
      <c r="IN77" s="4"/>
      <c r="IO77" s="4"/>
      <c r="IP77" s="4"/>
      <c r="IQ77" s="4"/>
      <c r="IR77" s="4"/>
      <c r="IS77" s="4"/>
      <c r="IT77" s="4"/>
      <c r="IU77" s="4"/>
      <c r="IV77" s="4"/>
      <c r="IW77" s="4"/>
      <c r="IX77" s="4"/>
      <c r="IY77" s="4"/>
      <c r="IZ77" s="4"/>
      <c r="JA77" s="4"/>
      <c r="JB77" s="4"/>
      <c r="JC77" s="4"/>
      <c r="JD77" s="4"/>
      <c r="JE77" s="4"/>
      <c r="JF77" s="4"/>
      <c r="JG77" s="4"/>
      <c r="JH77" s="4"/>
      <c r="JI77" s="4"/>
      <c r="JJ77" s="4"/>
      <c r="JK77" s="4"/>
      <c r="JL77" s="4"/>
      <c r="JM77" s="4"/>
      <c r="JN77" s="4"/>
      <c r="JO77" s="4"/>
      <c r="JP77" s="4"/>
      <c r="JQ77" s="4"/>
      <c r="JR77" s="4"/>
      <c r="JS77" s="4"/>
      <c r="JT77" s="4"/>
      <c r="JU77" s="4"/>
      <c r="JV77" s="4"/>
      <c r="JW77" s="4"/>
      <c r="JX77" s="4"/>
      <c r="JY77" s="4"/>
      <c r="JZ77" s="4"/>
      <c r="KA77" s="4"/>
      <c r="KB77" s="4"/>
      <c r="KC77" s="4"/>
      <c r="KD77" s="4"/>
      <c r="KE77" s="4"/>
      <c r="KF77" s="4"/>
      <c r="KG77" s="4"/>
      <c r="KH77" s="4"/>
      <c r="KI77" s="4"/>
      <c r="KJ77" s="4"/>
      <c r="KK77" s="4"/>
      <c r="KL77" s="4"/>
      <c r="KM77" s="4"/>
      <c r="KN77" s="4"/>
      <c r="KO77" s="4"/>
      <c r="KP77" s="4"/>
      <c r="KQ77" s="4"/>
      <c r="KR77" s="4"/>
      <c r="KS77" s="4"/>
      <c r="KT77" s="4"/>
      <c r="KU77" s="4"/>
      <c r="KV77" s="4"/>
      <c r="KW77" s="4"/>
      <c r="KX77" s="4"/>
      <c r="KY77" s="4"/>
      <c r="KZ77" s="4"/>
      <c r="LA77" s="4"/>
      <c r="LB77" s="4"/>
      <c r="LC77" s="4"/>
      <c r="LD77" s="4"/>
    </row>
    <row r="78" spans="1:316" s="15" customFormat="1" ht="15" thickBot="1" x14ac:dyDescent="0.35">
      <c r="A78" s="38" t="s">
        <v>189</v>
      </c>
      <c r="B78" s="37">
        <f>B77*(1+J5)</f>
        <v>38125.025000000009</v>
      </c>
      <c r="C78"/>
      <c r="D78"/>
      <c r="E78"/>
      <c r="F78"/>
      <c r="G78"/>
      <c r="H78"/>
      <c r="I78"/>
      <c r="J78"/>
      <c r="K78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  <c r="HK78" s="4"/>
      <c r="HL78" s="4"/>
      <c r="HM78" s="4"/>
      <c r="HN78" s="4"/>
      <c r="HO78" s="4"/>
      <c r="HP78" s="4"/>
      <c r="HQ78" s="4"/>
      <c r="HR78" s="4"/>
      <c r="HS78" s="4"/>
      <c r="HT78" s="4"/>
      <c r="HU78" s="4"/>
      <c r="HV78" s="4"/>
      <c r="HW78" s="4"/>
      <c r="HX78" s="4"/>
      <c r="HY78" s="4"/>
      <c r="HZ78" s="4"/>
      <c r="IA78" s="4"/>
      <c r="IB78" s="4"/>
      <c r="IC78" s="4"/>
      <c r="ID78" s="4"/>
      <c r="IE78" s="4"/>
      <c r="IF78" s="4"/>
      <c r="IG78" s="4"/>
      <c r="IH78" s="4"/>
      <c r="II78" s="4"/>
      <c r="IJ78" s="4"/>
      <c r="IK78" s="4"/>
      <c r="IL78" s="4"/>
      <c r="IM78" s="4"/>
      <c r="IN78" s="4"/>
      <c r="IO78" s="4"/>
      <c r="IP78" s="4"/>
      <c r="IQ78" s="4"/>
      <c r="IR78" s="4"/>
      <c r="IS78" s="4"/>
      <c r="IT78" s="4"/>
      <c r="IU78" s="4"/>
      <c r="IV78" s="4"/>
      <c r="IW78" s="4"/>
      <c r="IX78" s="4"/>
      <c r="IY78" s="4"/>
      <c r="IZ78" s="4"/>
      <c r="JA78" s="4"/>
      <c r="JB78" s="4"/>
      <c r="JC78" s="4"/>
      <c r="JD78" s="4"/>
      <c r="JE78" s="4"/>
      <c r="JF78" s="4"/>
      <c r="JG78" s="4"/>
      <c r="JH78" s="4"/>
      <c r="JI78" s="4"/>
      <c r="JJ78" s="4"/>
      <c r="JK78" s="4"/>
      <c r="JL78" s="4"/>
      <c r="JM78" s="4"/>
      <c r="JN78" s="4"/>
      <c r="JO78" s="4"/>
      <c r="JP78" s="4"/>
      <c r="JQ78" s="4"/>
      <c r="JR78" s="4"/>
      <c r="JS78" s="4"/>
      <c r="JT78" s="4"/>
      <c r="JU78" s="4"/>
      <c r="JV78" s="4"/>
      <c r="JW78" s="4"/>
      <c r="JX78" s="4"/>
      <c r="JY78" s="4"/>
      <c r="JZ78" s="4"/>
      <c r="KA78" s="4"/>
      <c r="KB78" s="4"/>
      <c r="KC78" s="4"/>
      <c r="KD78" s="4"/>
      <c r="KE78" s="4"/>
      <c r="KF78" s="4"/>
      <c r="KG78" s="4"/>
      <c r="KH78" s="4"/>
      <c r="KI78" s="4"/>
      <c r="KJ78" s="4"/>
      <c r="KK78" s="4"/>
      <c r="KL78" s="4"/>
      <c r="KM78" s="4"/>
      <c r="KN78" s="4"/>
      <c r="KO78" s="4"/>
      <c r="KP78" s="4"/>
      <c r="KQ78" s="4"/>
      <c r="KR78" s="4"/>
      <c r="KS78" s="4"/>
      <c r="KT78" s="4"/>
      <c r="KU78" s="4"/>
      <c r="KV78" s="4"/>
      <c r="KW78" s="4"/>
      <c r="KX78" s="4"/>
      <c r="KY78" s="4"/>
      <c r="KZ78" s="4"/>
      <c r="LA78" s="4"/>
      <c r="LB78" s="4"/>
      <c r="LC78" s="4"/>
      <c r="LD78" s="4"/>
    </row>
    <row r="79" spans="1:316" ht="15" thickBot="1" x14ac:dyDescent="0.35">
      <c r="A79" s="3"/>
      <c r="B79" s="4"/>
      <c r="C79" s="4"/>
      <c r="D79" s="4"/>
      <c r="E79" s="4"/>
      <c r="F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  <c r="HK79" s="4"/>
      <c r="HL79" s="4"/>
      <c r="HM79" s="4"/>
      <c r="HN79" s="4"/>
      <c r="HO79" s="4"/>
      <c r="HP79" s="4"/>
      <c r="HQ79" s="4"/>
      <c r="HR79" s="4"/>
      <c r="HS79" s="4"/>
      <c r="HT79" s="4"/>
      <c r="HU79" s="4"/>
      <c r="HV79" s="4"/>
      <c r="HW79" s="4"/>
      <c r="HX79" s="4"/>
      <c r="HY79" s="4"/>
      <c r="HZ79" s="4"/>
      <c r="IA79" s="4"/>
      <c r="IB79" s="4"/>
      <c r="IC79" s="4"/>
      <c r="ID79" s="4"/>
      <c r="IE79" s="4"/>
      <c r="IF79" s="4"/>
      <c r="IG79" s="4"/>
      <c r="IH79" s="4"/>
      <c r="II79" s="4"/>
      <c r="IJ79" s="4"/>
      <c r="IK79" s="4"/>
      <c r="IL79" s="4"/>
      <c r="IM79" s="4"/>
      <c r="IN79" s="4"/>
      <c r="IO79" s="4"/>
      <c r="IP79" s="4"/>
      <c r="IQ79" s="4"/>
      <c r="IR79" s="4"/>
      <c r="IS79" s="4"/>
      <c r="IT79" s="4"/>
      <c r="IU79" s="4"/>
      <c r="IV79" s="4"/>
      <c r="IW79" s="4"/>
      <c r="IX79" s="4"/>
      <c r="IY79" s="4"/>
      <c r="IZ79" s="4"/>
      <c r="JA79" s="4"/>
      <c r="JB79" s="4"/>
      <c r="JC79" s="4"/>
      <c r="JD79" s="4"/>
      <c r="JE79" s="4"/>
      <c r="JF79" s="4"/>
      <c r="JG79" s="4"/>
      <c r="JH79" s="4"/>
      <c r="JI79" s="4"/>
      <c r="JJ79" s="4"/>
      <c r="JK79" s="4"/>
      <c r="JL79" s="4"/>
      <c r="JM79" s="4"/>
      <c r="JN79" s="4"/>
      <c r="JO79" s="4"/>
      <c r="JP79" s="4"/>
      <c r="JQ79" s="4"/>
      <c r="JR79" s="4"/>
      <c r="JS79" s="4"/>
      <c r="JT79" s="4"/>
      <c r="JU79" s="4"/>
      <c r="JV79" s="4"/>
      <c r="JW79" s="4"/>
      <c r="JX79" s="4"/>
      <c r="JY79" s="4"/>
      <c r="JZ79" s="4"/>
      <c r="KA79" s="4"/>
      <c r="KB79" s="4"/>
      <c r="KC79" s="4"/>
      <c r="KD79" s="4"/>
      <c r="KE79" s="4"/>
      <c r="KF79" s="4"/>
      <c r="KG79" s="4"/>
      <c r="KH79" s="4"/>
      <c r="KI79" s="4"/>
      <c r="KJ79" s="4"/>
      <c r="KK79" s="4"/>
      <c r="KL79" s="4"/>
      <c r="KM79" s="4"/>
      <c r="KN79" s="4"/>
      <c r="KO79" s="4"/>
      <c r="KP79" s="4"/>
      <c r="KQ79" s="4"/>
      <c r="KR79" s="4"/>
      <c r="KS79" s="4"/>
      <c r="KT79" s="4"/>
      <c r="KU79" s="4"/>
      <c r="KV79" s="4"/>
      <c r="KW79" s="4"/>
      <c r="KX79" s="4"/>
      <c r="KY79" s="4"/>
      <c r="KZ79" s="4"/>
      <c r="LA79" s="4"/>
      <c r="LB79" s="4"/>
      <c r="LC79" s="4"/>
      <c r="LD79" s="4"/>
    </row>
    <row r="80" spans="1:316" s="15" customFormat="1" ht="43.2" x14ac:dyDescent="0.3">
      <c r="A80" s="36" t="s">
        <v>122</v>
      </c>
      <c r="B80" s="34" t="s">
        <v>190</v>
      </c>
      <c r="C80" s="35" t="s">
        <v>191</v>
      </c>
      <c r="D80" s="35" t="s">
        <v>192</v>
      </c>
      <c r="E80" s="34" t="s">
        <v>193</v>
      </c>
      <c r="F80" s="33" t="s">
        <v>194</v>
      </c>
      <c r="G80"/>
      <c r="H80"/>
      <c r="I80"/>
      <c r="J80"/>
      <c r="K80"/>
      <c r="L80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  <c r="HK80" s="4"/>
      <c r="HL80" s="4"/>
      <c r="HM80" s="4"/>
      <c r="HN80" s="4"/>
      <c r="HO80" s="4"/>
      <c r="HP80" s="4"/>
      <c r="HQ80" s="4"/>
      <c r="HR80" s="4"/>
      <c r="HS80" s="4"/>
      <c r="HT80" s="4"/>
      <c r="HU80" s="4"/>
      <c r="HV80" s="4"/>
      <c r="HW80" s="4"/>
      <c r="HX80" s="4"/>
      <c r="HY80" s="4"/>
      <c r="HZ80" s="4"/>
      <c r="IA80" s="4"/>
      <c r="IB80" s="4"/>
      <c r="IC80" s="4"/>
      <c r="ID80" s="4"/>
      <c r="IE80" s="4"/>
      <c r="IF80" s="4"/>
      <c r="IG80" s="4"/>
      <c r="IH80" s="4"/>
      <c r="II80" s="4"/>
      <c r="IJ80" s="4"/>
      <c r="IK80" s="4"/>
      <c r="IL80" s="4"/>
      <c r="IM80" s="4"/>
      <c r="IN80" s="4"/>
      <c r="IO80" s="4"/>
      <c r="IP80" s="4"/>
      <c r="IQ80" s="4"/>
      <c r="IR80" s="4"/>
      <c r="IS80" s="4"/>
      <c r="IT80" s="4"/>
      <c r="IU80" s="4"/>
      <c r="IV80" s="4"/>
      <c r="IW80" s="4"/>
      <c r="IX80" s="4"/>
      <c r="IY80" s="4"/>
      <c r="IZ80" s="4"/>
      <c r="JA80" s="4"/>
      <c r="JB80" s="4"/>
      <c r="JC80" s="4"/>
      <c r="JD80" s="4"/>
      <c r="JE80" s="4"/>
      <c r="JF80" s="4"/>
      <c r="JG80" s="4"/>
      <c r="JH80" s="4"/>
      <c r="JI80" s="4"/>
      <c r="JJ80" s="4"/>
      <c r="JK80" s="4"/>
      <c r="JL80" s="4"/>
      <c r="JM80" s="4"/>
      <c r="JN80" s="4"/>
      <c r="JO80" s="4"/>
      <c r="JP80" s="4"/>
      <c r="JQ80" s="4"/>
      <c r="JR80" s="4"/>
      <c r="JS80" s="4"/>
      <c r="JT80" s="4"/>
      <c r="JU80" s="4"/>
      <c r="JV80" s="4"/>
      <c r="JW80" s="4"/>
      <c r="JX80" s="4"/>
      <c r="JY80" s="4"/>
      <c r="JZ80" s="4"/>
      <c r="KA80" s="4"/>
      <c r="KB80" s="4"/>
      <c r="KC80" s="4"/>
      <c r="KD80" s="4"/>
      <c r="KE80" s="4"/>
      <c r="KF80" s="4"/>
      <c r="KG80" s="4"/>
      <c r="KH80" s="4"/>
      <c r="KI80" s="4"/>
      <c r="KJ80" s="4"/>
      <c r="KK80" s="4"/>
      <c r="KL80" s="4"/>
      <c r="KM80" s="4"/>
      <c r="KN80" s="4"/>
      <c r="KO80" s="4"/>
      <c r="KP80" s="4"/>
      <c r="KQ80" s="4"/>
      <c r="KR80" s="4"/>
      <c r="KS80" s="4"/>
      <c r="KT80" s="4"/>
      <c r="KU80" s="4"/>
      <c r="KV80" s="4"/>
      <c r="KW80" s="4"/>
      <c r="KX80" s="4"/>
      <c r="KY80" s="4"/>
      <c r="KZ80" s="4"/>
      <c r="LA80" s="4"/>
      <c r="LB80" s="4"/>
      <c r="LC80" s="4"/>
      <c r="LD80" s="4"/>
    </row>
    <row r="81" spans="1:316" x14ac:dyDescent="0.3">
      <c r="A81" s="32" t="s">
        <v>123</v>
      </c>
      <c r="B81" s="31">
        <f t="shared" ref="B81:B89" si="10">IFERROR($D15/$D64,0)</f>
        <v>0</v>
      </c>
      <c r="C81" s="31">
        <f t="shared" ref="C81:C89" si="11">IFERROR(($D15+$B$78)/$D64,0)</f>
        <v>0</v>
      </c>
      <c r="D81" s="4">
        <f t="shared" ref="D81:D89" si="12">E64</f>
        <v>0</v>
      </c>
      <c r="E81" s="30">
        <f t="shared" ref="E81:E89" si="13">D81*C81</f>
        <v>0</v>
      </c>
      <c r="F81" s="20">
        <f>IFERROR(($D15+$B$78)/$D64,0)</f>
        <v>0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  <c r="HT81" s="4"/>
      <c r="HU81" s="4"/>
      <c r="HV81" s="4"/>
      <c r="HW81" s="4"/>
      <c r="HX81" s="4"/>
      <c r="HY81" s="4"/>
      <c r="HZ81" s="4"/>
      <c r="IA81" s="4"/>
      <c r="IB81" s="4"/>
      <c r="IC81" s="4"/>
      <c r="ID81" s="4"/>
      <c r="IE81" s="4"/>
      <c r="IF81" s="4"/>
      <c r="IG81" s="4"/>
      <c r="IH81" s="4"/>
      <c r="II81" s="4"/>
      <c r="IJ81" s="4"/>
      <c r="IK81" s="4"/>
      <c r="IL81" s="4"/>
      <c r="IM81" s="4"/>
      <c r="IN81" s="4"/>
      <c r="IO81" s="4"/>
      <c r="IP81" s="4"/>
      <c r="IQ81" s="4"/>
      <c r="IR81" s="4"/>
      <c r="IS81" s="4"/>
      <c r="IT81" s="4"/>
      <c r="IU81" s="4"/>
      <c r="IV81" s="4"/>
      <c r="IW81" s="4"/>
      <c r="IX81" s="4"/>
      <c r="IY81" s="4"/>
      <c r="IZ81" s="4"/>
      <c r="JA81" s="4"/>
      <c r="JB81" s="4"/>
      <c r="JC81" s="4"/>
      <c r="JD81" s="4"/>
      <c r="JE81" s="4"/>
      <c r="JF81" s="4"/>
      <c r="JG81" s="4"/>
      <c r="JH81" s="4"/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</row>
    <row r="82" spans="1:316" s="15" customFormat="1" x14ac:dyDescent="0.3">
      <c r="A82" s="29" t="s">
        <v>109</v>
      </c>
      <c r="B82" s="28">
        <f t="shared" si="10"/>
        <v>26.414043824701196</v>
      </c>
      <c r="C82" s="28">
        <f t="shared" si="11"/>
        <v>55.624145724793138</v>
      </c>
      <c r="D82" s="27">
        <f t="shared" si="12"/>
        <v>1305.2</v>
      </c>
      <c r="E82" s="26">
        <f t="shared" si="13"/>
        <v>72600.635000000009</v>
      </c>
      <c r="F82" s="25">
        <f t="shared" ref="F82:F89" si="14">IFERROR(($D16+$B$77)/$D65,0)</f>
        <v>49.782125344774748</v>
      </c>
      <c r="G82"/>
      <c r="H82"/>
      <c r="I82"/>
      <c r="J82"/>
      <c r="K82"/>
      <c r="L82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  <c r="HK82" s="4"/>
      <c r="HL82" s="4"/>
      <c r="HM82" s="4"/>
      <c r="HN82" s="4"/>
      <c r="HO82" s="4"/>
      <c r="HP82" s="4"/>
      <c r="HQ82" s="4"/>
      <c r="HR82" s="4"/>
      <c r="HS82" s="4"/>
      <c r="HT82" s="4"/>
      <c r="HU82" s="4"/>
      <c r="HV82" s="4"/>
      <c r="HW82" s="4"/>
      <c r="HX82" s="4"/>
      <c r="HY82" s="4"/>
      <c r="HZ82" s="4"/>
      <c r="IA82" s="4"/>
      <c r="IB82" s="4"/>
      <c r="IC82" s="4"/>
      <c r="ID82" s="4"/>
      <c r="IE82" s="4"/>
      <c r="IF82" s="4"/>
      <c r="IG82" s="4"/>
      <c r="IH82" s="4"/>
      <c r="II82" s="4"/>
      <c r="IJ82" s="4"/>
      <c r="IK82" s="4"/>
      <c r="IL82" s="4"/>
      <c r="IM82" s="4"/>
      <c r="IN82" s="4"/>
      <c r="IO82" s="4"/>
      <c r="IP82" s="4"/>
      <c r="IQ82" s="4"/>
      <c r="IR82" s="4"/>
      <c r="IS82" s="4"/>
      <c r="IT82" s="4"/>
      <c r="IU82" s="4"/>
      <c r="IV82" s="4"/>
      <c r="IW82" s="4"/>
      <c r="IX82" s="4"/>
      <c r="IY82" s="4"/>
      <c r="IZ82" s="4"/>
      <c r="JA82" s="4"/>
      <c r="JB82" s="4"/>
      <c r="JC82" s="4"/>
      <c r="JD82" s="4"/>
      <c r="JE82" s="4"/>
      <c r="JF82" s="4"/>
      <c r="JG82" s="4"/>
      <c r="JH82" s="4"/>
      <c r="JI82" s="4"/>
      <c r="JJ82" s="4"/>
      <c r="JK82" s="4"/>
      <c r="JL82" s="4"/>
      <c r="JM82" s="4"/>
      <c r="JN82" s="4"/>
      <c r="JO82" s="4"/>
      <c r="JP82" s="4"/>
      <c r="JQ82" s="4"/>
      <c r="JR82" s="4"/>
      <c r="JS82" s="4"/>
      <c r="JT82" s="4"/>
      <c r="JU82" s="4"/>
      <c r="JV82" s="4"/>
      <c r="JW82" s="4"/>
      <c r="JX82" s="4"/>
      <c r="JY82" s="4"/>
      <c r="JZ82" s="4"/>
      <c r="KA82" s="4"/>
      <c r="KB82" s="4"/>
      <c r="KC82" s="4"/>
      <c r="KD82" s="4"/>
      <c r="KE82" s="4"/>
      <c r="KF82" s="4"/>
      <c r="KG82" s="4"/>
      <c r="KH82" s="4"/>
      <c r="KI82" s="4"/>
      <c r="KJ82" s="4"/>
      <c r="KK82" s="4"/>
      <c r="KL82" s="4"/>
      <c r="KM82" s="4"/>
      <c r="KN82" s="4"/>
      <c r="KO82" s="4"/>
      <c r="KP82" s="4"/>
      <c r="KQ82" s="4"/>
      <c r="KR82" s="4"/>
      <c r="KS82" s="4"/>
      <c r="KT82" s="4"/>
      <c r="KU82" s="4"/>
      <c r="KV82" s="4"/>
      <c r="KW82" s="4"/>
      <c r="KX82" s="4"/>
      <c r="KY82" s="4"/>
      <c r="KZ82" s="4"/>
      <c r="LA82" s="4"/>
      <c r="LB82" s="4"/>
      <c r="LC82" s="4"/>
      <c r="LD82" s="4"/>
    </row>
    <row r="83" spans="1:316" x14ac:dyDescent="0.3">
      <c r="A83" s="32" t="s">
        <v>124</v>
      </c>
      <c r="B83" s="31">
        <f t="shared" si="10"/>
        <v>16.372798804780878</v>
      </c>
      <c r="C83" s="31">
        <f t="shared" si="11"/>
        <v>54.345931274900408</v>
      </c>
      <c r="D83" s="4">
        <f t="shared" si="12"/>
        <v>1004</v>
      </c>
      <c r="E83" s="30">
        <f t="shared" si="13"/>
        <v>54563.31500000001</v>
      </c>
      <c r="F83" s="20">
        <f t="shared" si="14"/>
        <v>46.751304780876502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  <c r="HK83" s="4"/>
      <c r="HL83" s="4"/>
      <c r="HM83" s="4"/>
      <c r="HN83" s="4"/>
      <c r="HO83" s="4"/>
      <c r="HP83" s="4"/>
      <c r="HQ83" s="4"/>
      <c r="HR83" s="4"/>
      <c r="HS83" s="4"/>
      <c r="HT83" s="4"/>
      <c r="HU83" s="4"/>
      <c r="HV83" s="4"/>
      <c r="HW83" s="4"/>
      <c r="HX83" s="4"/>
      <c r="HY83" s="4"/>
      <c r="HZ83" s="4"/>
      <c r="IA83" s="4"/>
      <c r="IB83" s="4"/>
      <c r="IC83" s="4"/>
      <c r="ID83" s="4"/>
      <c r="IE83" s="4"/>
      <c r="IF83" s="4"/>
      <c r="IG83" s="4"/>
      <c r="IH83" s="4"/>
      <c r="II83" s="4"/>
      <c r="IJ83" s="4"/>
      <c r="IK83" s="4"/>
      <c r="IL83" s="4"/>
      <c r="IM83" s="4"/>
      <c r="IN83" s="4"/>
      <c r="IO83" s="4"/>
      <c r="IP83" s="4"/>
      <c r="IQ83" s="4"/>
      <c r="IR83" s="4"/>
      <c r="IS83" s="4"/>
      <c r="IT83" s="4"/>
      <c r="IU83" s="4"/>
      <c r="IV83" s="4"/>
      <c r="IW83" s="4"/>
      <c r="IX83" s="4"/>
      <c r="IY83" s="4"/>
      <c r="IZ83" s="4"/>
      <c r="JA83" s="4"/>
      <c r="JB83" s="4"/>
      <c r="JC83" s="4"/>
      <c r="JD83" s="4"/>
      <c r="JE83" s="4"/>
      <c r="JF83" s="4"/>
      <c r="JG83" s="4"/>
      <c r="JH83" s="4"/>
      <c r="JI83" s="4"/>
      <c r="JJ83" s="4"/>
      <c r="JK83" s="4"/>
      <c r="JL83" s="4"/>
      <c r="JM83" s="4"/>
      <c r="JN83" s="4"/>
      <c r="JO83" s="4"/>
      <c r="JP83" s="4"/>
      <c r="JQ83" s="4"/>
      <c r="JR83" s="4"/>
      <c r="JS83" s="4"/>
      <c r="JT83" s="4"/>
      <c r="JU83" s="4"/>
      <c r="JV83" s="4"/>
      <c r="JW83" s="4"/>
      <c r="JX83" s="4"/>
      <c r="JY83" s="4"/>
      <c r="JZ83" s="4"/>
      <c r="KA83" s="4"/>
      <c r="KB83" s="4"/>
      <c r="KC83" s="4"/>
      <c r="KD83" s="4"/>
      <c r="KE83" s="4"/>
      <c r="KF83" s="4"/>
      <c r="KG83" s="4"/>
      <c r="KH83" s="4"/>
      <c r="KI83" s="4"/>
      <c r="KJ83" s="4"/>
      <c r="KK83" s="4"/>
      <c r="KL83" s="4"/>
      <c r="KM83" s="4"/>
      <c r="KN83" s="4"/>
      <c r="KO83" s="4"/>
      <c r="KP83" s="4"/>
      <c r="KQ83" s="4"/>
      <c r="KR83" s="4"/>
      <c r="KS83" s="4"/>
      <c r="KT83" s="4"/>
      <c r="KU83" s="4"/>
      <c r="KV83" s="4"/>
      <c r="KW83" s="4"/>
      <c r="KX83" s="4"/>
      <c r="KY83" s="4"/>
      <c r="KZ83" s="4"/>
      <c r="LA83" s="4"/>
      <c r="LB83" s="4"/>
      <c r="LC83" s="4"/>
      <c r="LD83" s="4"/>
    </row>
    <row r="84" spans="1:316" s="15" customFormat="1" x14ac:dyDescent="0.3">
      <c r="A84" s="29" t="s">
        <v>125</v>
      </c>
      <c r="B84" s="28">
        <f t="shared" si="10"/>
        <v>23.17270293824701</v>
      </c>
      <c r="C84" s="28">
        <f t="shared" si="11"/>
        <v>46.90591073207171</v>
      </c>
      <c r="D84" s="27">
        <f t="shared" si="12"/>
        <v>1606.4</v>
      </c>
      <c r="E84" s="26">
        <f t="shared" si="13"/>
        <v>75349.654999999999</v>
      </c>
      <c r="F84" s="25">
        <f t="shared" si="14"/>
        <v>42.159269173306768</v>
      </c>
      <c r="G84"/>
      <c r="H84"/>
      <c r="I84"/>
      <c r="J84"/>
      <c r="K84"/>
      <c r="L8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  <c r="HK84" s="4"/>
      <c r="HL84" s="4"/>
      <c r="HM84" s="4"/>
      <c r="HN84" s="4"/>
      <c r="HO84" s="4"/>
      <c r="HP84" s="4"/>
      <c r="HQ84" s="4"/>
      <c r="HR84" s="4"/>
      <c r="HS84" s="4"/>
      <c r="HT84" s="4"/>
      <c r="HU84" s="4"/>
      <c r="HV84" s="4"/>
      <c r="HW84" s="4"/>
      <c r="HX84" s="4"/>
      <c r="HY84" s="4"/>
      <c r="HZ84" s="4"/>
      <c r="IA84" s="4"/>
      <c r="IB84" s="4"/>
      <c r="IC84" s="4"/>
      <c r="ID84" s="4"/>
      <c r="IE84" s="4"/>
      <c r="IF84" s="4"/>
      <c r="IG84" s="4"/>
      <c r="IH84" s="4"/>
      <c r="II84" s="4"/>
      <c r="IJ84" s="4"/>
      <c r="IK84" s="4"/>
      <c r="IL84" s="4"/>
      <c r="IM84" s="4"/>
      <c r="IN84" s="4"/>
      <c r="IO84" s="4"/>
      <c r="IP84" s="4"/>
      <c r="IQ84" s="4"/>
      <c r="IR84" s="4"/>
      <c r="IS84" s="4"/>
      <c r="IT84" s="4"/>
      <c r="IU84" s="4"/>
      <c r="IV84" s="4"/>
      <c r="IW84" s="4"/>
      <c r="IX84" s="4"/>
      <c r="IY84" s="4"/>
      <c r="IZ84" s="4"/>
      <c r="JA84" s="4"/>
      <c r="JB84" s="4"/>
      <c r="JC84" s="4"/>
      <c r="JD84" s="4"/>
      <c r="JE84" s="4"/>
      <c r="JF84" s="4"/>
      <c r="JG84" s="4"/>
      <c r="JH84" s="4"/>
      <c r="JI84" s="4"/>
      <c r="JJ84" s="4"/>
      <c r="JK84" s="4"/>
      <c r="JL84" s="4"/>
      <c r="JM84" s="4"/>
      <c r="JN84" s="4"/>
      <c r="JO84" s="4"/>
      <c r="JP84" s="4"/>
      <c r="JQ84" s="4"/>
      <c r="JR84" s="4"/>
      <c r="JS84" s="4"/>
      <c r="JT84" s="4"/>
      <c r="JU84" s="4"/>
      <c r="JV84" s="4"/>
      <c r="JW84" s="4"/>
      <c r="JX84" s="4"/>
      <c r="JY84" s="4"/>
      <c r="JZ84" s="4"/>
      <c r="KA84" s="4"/>
      <c r="KB84" s="4"/>
      <c r="KC84" s="4"/>
      <c r="KD84" s="4"/>
      <c r="KE84" s="4"/>
      <c r="KF84" s="4"/>
      <c r="KG84" s="4"/>
      <c r="KH84" s="4"/>
      <c r="KI84" s="4"/>
      <c r="KJ84" s="4"/>
      <c r="KK84" s="4"/>
      <c r="KL84" s="4"/>
      <c r="KM84" s="4"/>
      <c r="KN84" s="4"/>
      <c r="KO84" s="4"/>
      <c r="KP84" s="4"/>
      <c r="KQ84" s="4"/>
      <c r="KR84" s="4"/>
      <c r="KS84" s="4"/>
      <c r="KT84" s="4"/>
      <c r="KU84" s="4"/>
      <c r="KV84" s="4"/>
      <c r="KW84" s="4"/>
      <c r="KX84" s="4"/>
      <c r="KY84" s="4"/>
      <c r="KZ84" s="4"/>
      <c r="LA84" s="4"/>
      <c r="LB84" s="4"/>
      <c r="LC84" s="4"/>
      <c r="LD84" s="4"/>
    </row>
    <row r="85" spans="1:316" x14ac:dyDescent="0.3">
      <c r="A85" s="32" t="s">
        <v>112</v>
      </c>
      <c r="B85" s="31">
        <f t="shared" si="10"/>
        <v>27.350749941410829</v>
      </c>
      <c r="C85" s="31">
        <f t="shared" si="11"/>
        <v>49.687886688539962</v>
      </c>
      <c r="D85" s="4">
        <f t="shared" si="12"/>
        <v>1706.8</v>
      </c>
      <c r="E85" s="30">
        <f t="shared" si="13"/>
        <v>84807.285000000003</v>
      </c>
      <c r="F85" s="20">
        <f t="shared" si="14"/>
        <v>45.220459339114129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  <c r="HK85" s="4"/>
      <c r="HL85" s="4"/>
      <c r="HM85" s="4"/>
      <c r="HN85" s="4"/>
      <c r="HO85" s="4"/>
      <c r="HP85" s="4"/>
      <c r="HQ85" s="4"/>
      <c r="HR85" s="4"/>
      <c r="HS85" s="4"/>
      <c r="HT85" s="4"/>
      <c r="HU85" s="4"/>
      <c r="HV85" s="4"/>
      <c r="HW85" s="4"/>
      <c r="HX85" s="4"/>
      <c r="HY85" s="4"/>
      <c r="HZ85" s="4"/>
      <c r="IA85" s="4"/>
      <c r="IB85" s="4"/>
      <c r="IC85" s="4"/>
      <c r="ID85" s="4"/>
      <c r="IE85" s="4"/>
      <c r="IF85" s="4"/>
      <c r="IG85" s="4"/>
      <c r="IH85" s="4"/>
      <c r="II85" s="4"/>
      <c r="IJ85" s="4"/>
      <c r="IK85" s="4"/>
      <c r="IL85" s="4"/>
      <c r="IM85" s="4"/>
      <c r="IN85" s="4"/>
      <c r="IO85" s="4"/>
      <c r="IP85" s="4"/>
      <c r="IQ85" s="4"/>
      <c r="IR85" s="4"/>
      <c r="IS85" s="4"/>
      <c r="IT85" s="4"/>
      <c r="IU85" s="4"/>
      <c r="IV85" s="4"/>
      <c r="IW85" s="4"/>
      <c r="IX85" s="4"/>
      <c r="IY85" s="4"/>
      <c r="IZ85" s="4"/>
      <c r="JA85" s="4"/>
      <c r="JB85" s="4"/>
      <c r="JC85" s="4"/>
      <c r="JD85" s="4"/>
      <c r="JE85" s="4"/>
      <c r="JF85" s="4"/>
      <c r="JG85" s="4"/>
      <c r="JH85" s="4"/>
      <c r="JI85" s="4"/>
      <c r="JJ85" s="4"/>
      <c r="JK85" s="4"/>
      <c r="JL85" s="4"/>
      <c r="JM85" s="4"/>
      <c r="JN85" s="4"/>
      <c r="JO85" s="4"/>
      <c r="JP85" s="4"/>
      <c r="JQ85" s="4"/>
      <c r="JR85" s="4"/>
      <c r="JS85" s="4"/>
      <c r="JT85" s="4"/>
      <c r="JU85" s="4"/>
      <c r="JV85" s="4"/>
      <c r="JW85" s="4"/>
      <c r="JX85" s="4"/>
      <c r="JY85" s="4"/>
      <c r="JZ85" s="4"/>
      <c r="KA85" s="4"/>
      <c r="KB85" s="4"/>
      <c r="KC85" s="4"/>
      <c r="KD85" s="4"/>
      <c r="KE85" s="4"/>
      <c r="KF85" s="4"/>
      <c r="KG85" s="4"/>
      <c r="KH85" s="4"/>
      <c r="KI85" s="4"/>
      <c r="KJ85" s="4"/>
      <c r="KK85" s="4"/>
      <c r="KL85" s="4"/>
      <c r="KM85" s="4"/>
      <c r="KN85" s="4"/>
      <c r="KO85" s="4"/>
      <c r="KP85" s="4"/>
      <c r="KQ85" s="4"/>
      <c r="KR85" s="4"/>
      <c r="KS85" s="4"/>
      <c r="KT85" s="4"/>
      <c r="KU85" s="4"/>
      <c r="KV85" s="4"/>
      <c r="KW85" s="4"/>
      <c r="KX85" s="4"/>
      <c r="KY85" s="4"/>
      <c r="KZ85" s="4"/>
      <c r="LA85" s="4"/>
      <c r="LB85" s="4"/>
      <c r="LC85" s="4"/>
      <c r="LD85" s="4"/>
    </row>
    <row r="86" spans="1:316" s="15" customFormat="1" x14ac:dyDescent="0.3">
      <c r="A86" s="29" t="s">
        <v>113</v>
      </c>
      <c r="B86" s="28">
        <f t="shared" si="10"/>
        <v>28.901719787516598</v>
      </c>
      <c r="C86" s="28">
        <f t="shared" si="11"/>
        <v>54.217141434262956</v>
      </c>
      <c r="D86" s="27">
        <f t="shared" si="12"/>
        <v>1506</v>
      </c>
      <c r="E86" s="26">
        <f t="shared" si="13"/>
        <v>81651.015000000014</v>
      </c>
      <c r="F86" s="25">
        <f t="shared" si="14"/>
        <v>49.154057104913683</v>
      </c>
      <c r="G86"/>
      <c r="H86"/>
      <c r="I86"/>
      <c r="J86"/>
      <c r="K86"/>
      <c r="L8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  <c r="HK86" s="4"/>
      <c r="HL86" s="4"/>
      <c r="HM86" s="4"/>
      <c r="HN86" s="4"/>
      <c r="HO86" s="4"/>
      <c r="HP86" s="4"/>
      <c r="HQ86" s="4"/>
      <c r="HR86" s="4"/>
      <c r="HS86" s="4"/>
      <c r="HT86" s="4"/>
      <c r="HU86" s="4"/>
      <c r="HV86" s="4"/>
      <c r="HW86" s="4"/>
      <c r="HX86" s="4"/>
      <c r="HY86" s="4"/>
      <c r="HZ86" s="4"/>
      <c r="IA86" s="4"/>
      <c r="IB86" s="4"/>
      <c r="IC86" s="4"/>
      <c r="ID86" s="4"/>
      <c r="IE86" s="4"/>
      <c r="IF86" s="4"/>
      <c r="IG86" s="4"/>
      <c r="IH86" s="4"/>
      <c r="II86" s="4"/>
      <c r="IJ86" s="4"/>
      <c r="IK86" s="4"/>
      <c r="IL86" s="4"/>
      <c r="IM86" s="4"/>
      <c r="IN86" s="4"/>
      <c r="IO86" s="4"/>
      <c r="IP86" s="4"/>
      <c r="IQ86" s="4"/>
      <c r="IR86" s="4"/>
      <c r="IS86" s="4"/>
      <c r="IT86" s="4"/>
      <c r="IU86" s="4"/>
      <c r="IV86" s="4"/>
      <c r="IW86" s="4"/>
      <c r="IX86" s="4"/>
      <c r="IY86" s="4"/>
      <c r="IZ86" s="4"/>
      <c r="JA86" s="4"/>
      <c r="JB86" s="4"/>
      <c r="JC86" s="4"/>
      <c r="JD86" s="4"/>
      <c r="JE86" s="4"/>
      <c r="JF86" s="4"/>
      <c r="JG86" s="4"/>
      <c r="JH86" s="4"/>
      <c r="JI86" s="4"/>
      <c r="JJ86" s="4"/>
      <c r="JK86" s="4"/>
      <c r="JL86" s="4"/>
      <c r="JM86" s="4"/>
      <c r="JN86" s="4"/>
      <c r="JO86" s="4"/>
      <c r="JP86" s="4"/>
      <c r="JQ86" s="4"/>
      <c r="JR86" s="4"/>
      <c r="JS86" s="4"/>
      <c r="JT86" s="4"/>
      <c r="JU86" s="4"/>
      <c r="JV86" s="4"/>
      <c r="JW86" s="4"/>
      <c r="JX86" s="4"/>
      <c r="JY86" s="4"/>
      <c r="JZ86" s="4"/>
      <c r="KA86" s="4"/>
      <c r="KB86" s="4"/>
      <c r="KC86" s="4"/>
      <c r="KD86" s="4"/>
      <c r="KE86" s="4"/>
      <c r="KF86" s="4"/>
      <c r="KG86" s="4"/>
      <c r="KH86" s="4"/>
      <c r="KI86" s="4"/>
      <c r="KJ86" s="4"/>
      <c r="KK86" s="4"/>
      <c r="KL86" s="4"/>
      <c r="KM86" s="4"/>
      <c r="KN86" s="4"/>
      <c r="KO86" s="4"/>
      <c r="KP86" s="4"/>
      <c r="KQ86" s="4"/>
      <c r="KR86" s="4"/>
      <c r="KS86" s="4"/>
      <c r="KT86" s="4"/>
      <c r="KU86" s="4"/>
      <c r="KV86" s="4"/>
      <c r="KW86" s="4"/>
      <c r="KX86" s="4"/>
      <c r="KY86" s="4"/>
      <c r="KZ86" s="4"/>
      <c r="LA86" s="4"/>
      <c r="LB86" s="4"/>
      <c r="LC86" s="4"/>
      <c r="LD86" s="4"/>
    </row>
    <row r="87" spans="1:316" x14ac:dyDescent="0.3">
      <c r="A87" s="32" t="s">
        <v>126</v>
      </c>
      <c r="B87" s="31">
        <f t="shared" si="10"/>
        <v>25.976956878368878</v>
      </c>
      <c r="C87" s="31">
        <f t="shared" si="11"/>
        <v>48.314093625498018</v>
      </c>
      <c r="D87" s="4">
        <f t="shared" si="12"/>
        <v>3413.6</v>
      </c>
      <c r="E87" s="30">
        <f t="shared" si="13"/>
        <v>164924.99000000002</v>
      </c>
      <c r="F87" s="20">
        <f t="shared" si="14"/>
        <v>43.846666276072185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  <c r="HK87" s="4"/>
      <c r="HL87" s="4"/>
      <c r="HM87" s="4"/>
      <c r="HN87" s="4"/>
      <c r="HO87" s="4"/>
      <c r="HP87" s="4"/>
      <c r="HQ87" s="4"/>
      <c r="HR87" s="4"/>
      <c r="HS87" s="4"/>
      <c r="HT87" s="4"/>
      <c r="HU87" s="4"/>
      <c r="HV87" s="4"/>
      <c r="HW87" s="4"/>
      <c r="HX87" s="4"/>
      <c r="HY87" s="4"/>
      <c r="HZ87" s="4"/>
      <c r="IA87" s="4"/>
      <c r="IB87" s="4"/>
      <c r="IC87" s="4"/>
      <c r="ID87" s="4"/>
      <c r="IE87" s="4"/>
      <c r="IF87" s="4"/>
      <c r="IG87" s="4"/>
      <c r="IH87" s="4"/>
      <c r="II87" s="4"/>
      <c r="IJ87" s="4"/>
      <c r="IK87" s="4"/>
      <c r="IL87" s="4"/>
      <c r="IM87" s="4"/>
      <c r="IN87" s="4"/>
      <c r="IO87" s="4"/>
      <c r="IP87" s="4"/>
      <c r="IQ87" s="4"/>
      <c r="IR87" s="4"/>
      <c r="IS87" s="4"/>
      <c r="IT87" s="4"/>
      <c r="IU87" s="4"/>
      <c r="IV87" s="4"/>
      <c r="IW87" s="4"/>
      <c r="IX87" s="4"/>
      <c r="IY87" s="4"/>
      <c r="IZ87" s="4"/>
      <c r="JA87" s="4"/>
      <c r="JB87" s="4"/>
      <c r="JC87" s="4"/>
      <c r="JD87" s="4"/>
      <c r="JE87" s="4"/>
      <c r="JF87" s="4"/>
      <c r="JG87" s="4"/>
      <c r="JH87" s="4"/>
      <c r="JI87" s="4"/>
      <c r="JJ87" s="4"/>
      <c r="JK87" s="4"/>
      <c r="JL87" s="4"/>
      <c r="JM87" s="4"/>
      <c r="JN87" s="4"/>
      <c r="JO87" s="4"/>
      <c r="JP87" s="4"/>
      <c r="JQ87" s="4"/>
      <c r="JR87" s="4"/>
      <c r="JS87" s="4"/>
      <c r="JT87" s="4"/>
      <c r="JU87" s="4"/>
      <c r="JV87" s="4"/>
      <c r="JW87" s="4"/>
      <c r="JX87" s="4"/>
      <c r="JY87" s="4"/>
      <c r="JZ87" s="4"/>
      <c r="KA87" s="4"/>
      <c r="KB87" s="4"/>
      <c r="KC87" s="4"/>
      <c r="KD87" s="4"/>
      <c r="KE87" s="4"/>
      <c r="KF87" s="4"/>
      <c r="KG87" s="4"/>
      <c r="KH87" s="4"/>
      <c r="KI87" s="4"/>
      <c r="KJ87" s="4"/>
      <c r="KK87" s="4"/>
      <c r="KL87" s="4"/>
      <c r="KM87" s="4"/>
      <c r="KN87" s="4"/>
      <c r="KO87" s="4"/>
      <c r="KP87" s="4"/>
      <c r="KQ87" s="4"/>
      <c r="KR87" s="4"/>
      <c r="KS87" s="4"/>
      <c r="KT87" s="4"/>
      <c r="KU87" s="4"/>
      <c r="KV87" s="4"/>
      <c r="KW87" s="4"/>
      <c r="KX87" s="4"/>
      <c r="KY87" s="4"/>
      <c r="KZ87" s="4"/>
      <c r="LA87" s="4"/>
      <c r="LB87" s="4"/>
      <c r="LC87" s="4"/>
      <c r="LD87" s="4"/>
    </row>
    <row r="88" spans="1:316" s="15" customFormat="1" x14ac:dyDescent="0.3">
      <c r="A88" s="29" t="s">
        <v>127</v>
      </c>
      <c r="B88" s="28">
        <f t="shared" si="10"/>
        <v>16.852881331815595</v>
      </c>
      <c r="C88" s="28">
        <f t="shared" si="11"/>
        <v>43.976547381900978</v>
      </c>
      <c r="D88" s="27">
        <f t="shared" si="12"/>
        <v>5622.4</v>
      </c>
      <c r="E88" s="26">
        <f t="shared" si="13"/>
        <v>247253.74000000005</v>
      </c>
      <c r="F88" s="25">
        <f t="shared" si="14"/>
        <v>38.551814171883898</v>
      </c>
      <c r="G88"/>
      <c r="H88"/>
      <c r="I88"/>
      <c r="J88"/>
      <c r="K88"/>
      <c r="L88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  <c r="HK88" s="4"/>
      <c r="HL88" s="4"/>
      <c r="HM88" s="4"/>
      <c r="HN88" s="4"/>
      <c r="HO88" s="4"/>
      <c r="HP88" s="4"/>
      <c r="HQ88" s="4"/>
      <c r="HR88" s="4"/>
      <c r="HS88" s="4"/>
      <c r="HT88" s="4"/>
      <c r="HU88" s="4"/>
      <c r="HV88" s="4"/>
      <c r="HW88" s="4"/>
      <c r="HX88" s="4"/>
      <c r="HY88" s="4"/>
      <c r="HZ88" s="4"/>
      <c r="IA88" s="4"/>
      <c r="IB88" s="4"/>
      <c r="IC88" s="4"/>
      <c r="ID88" s="4"/>
      <c r="IE88" s="4"/>
      <c r="IF88" s="4"/>
      <c r="IG88" s="4"/>
      <c r="IH88" s="4"/>
      <c r="II88" s="4"/>
      <c r="IJ88" s="4"/>
      <c r="IK88" s="4"/>
      <c r="IL88" s="4"/>
      <c r="IM88" s="4"/>
      <c r="IN88" s="4"/>
      <c r="IO88" s="4"/>
      <c r="IP88" s="4"/>
      <c r="IQ88" s="4"/>
      <c r="IR88" s="4"/>
      <c r="IS88" s="4"/>
      <c r="IT88" s="4"/>
      <c r="IU88" s="4"/>
      <c r="IV88" s="4"/>
      <c r="IW88" s="4"/>
      <c r="IX88" s="4"/>
      <c r="IY88" s="4"/>
      <c r="IZ88" s="4"/>
      <c r="JA88" s="4"/>
      <c r="JB88" s="4"/>
      <c r="JC88" s="4"/>
      <c r="JD88" s="4"/>
      <c r="JE88" s="4"/>
      <c r="JF88" s="4"/>
      <c r="JG88" s="4"/>
      <c r="JH88" s="4"/>
      <c r="JI88" s="4"/>
      <c r="JJ88" s="4"/>
      <c r="JK88" s="4"/>
      <c r="JL88" s="4"/>
      <c r="JM88" s="4"/>
      <c r="JN88" s="4"/>
      <c r="JO88" s="4"/>
      <c r="JP88" s="4"/>
      <c r="JQ88" s="4"/>
      <c r="JR88" s="4"/>
      <c r="JS88" s="4"/>
      <c r="JT88" s="4"/>
      <c r="JU88" s="4"/>
      <c r="JV88" s="4"/>
      <c r="JW88" s="4"/>
      <c r="JX88" s="4"/>
      <c r="JY88" s="4"/>
      <c r="JZ88" s="4"/>
      <c r="KA88" s="4"/>
      <c r="KB88" s="4"/>
      <c r="KC88" s="4"/>
      <c r="KD88" s="4"/>
      <c r="KE88" s="4"/>
      <c r="KF88" s="4"/>
      <c r="KG88" s="4"/>
      <c r="KH88" s="4"/>
      <c r="KI88" s="4"/>
      <c r="KJ88" s="4"/>
      <c r="KK88" s="4"/>
      <c r="KL88" s="4"/>
      <c r="KM88" s="4"/>
      <c r="KN88" s="4"/>
      <c r="KO88" s="4"/>
      <c r="KP88" s="4"/>
      <c r="KQ88" s="4"/>
      <c r="KR88" s="4"/>
      <c r="KS88" s="4"/>
      <c r="KT88" s="4"/>
      <c r="KU88" s="4"/>
      <c r="KV88" s="4"/>
      <c r="KW88" s="4"/>
      <c r="KX88" s="4"/>
      <c r="KY88" s="4"/>
      <c r="KZ88" s="4"/>
      <c r="LA88" s="4"/>
      <c r="LB88" s="4"/>
      <c r="LC88" s="4"/>
      <c r="LD88" s="4"/>
    </row>
    <row r="89" spans="1:316" ht="15" thickBot="1" x14ac:dyDescent="0.35">
      <c r="A89" s="24" t="s">
        <v>128</v>
      </c>
      <c r="B89" s="23">
        <f t="shared" si="10"/>
        <v>0</v>
      </c>
      <c r="C89" s="23">
        <f t="shared" si="11"/>
        <v>0</v>
      </c>
      <c r="D89" s="22">
        <f t="shared" si="12"/>
        <v>0</v>
      </c>
      <c r="E89" s="21">
        <f t="shared" si="13"/>
        <v>0</v>
      </c>
      <c r="F89" s="20">
        <f t="shared" si="14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  <c r="HK89" s="4"/>
      <c r="HL89" s="4"/>
      <c r="HM89" s="4"/>
      <c r="HN89" s="4"/>
      <c r="HO89" s="4"/>
      <c r="HP89" s="4"/>
      <c r="HQ89" s="4"/>
      <c r="HR89" s="4"/>
      <c r="HS89" s="4"/>
      <c r="HT89" s="4"/>
      <c r="HU89" s="4"/>
      <c r="HV89" s="4"/>
      <c r="HW89" s="4"/>
      <c r="HX89" s="4"/>
      <c r="HY89" s="4"/>
      <c r="HZ89" s="4"/>
      <c r="IA89" s="4"/>
      <c r="IB89" s="4"/>
      <c r="IC89" s="4"/>
      <c r="ID89" s="4"/>
      <c r="IE89" s="4"/>
      <c r="IF89" s="4"/>
      <c r="IG89" s="4"/>
      <c r="IH89" s="4"/>
      <c r="II89" s="4"/>
      <c r="IJ89" s="4"/>
      <c r="IK89" s="4"/>
      <c r="IL89" s="4"/>
      <c r="IM89" s="4"/>
      <c r="IN89" s="4"/>
      <c r="IO89" s="4"/>
      <c r="IP89" s="4"/>
      <c r="IQ89" s="4"/>
      <c r="IR89" s="4"/>
      <c r="IS89" s="4"/>
      <c r="IT89" s="4"/>
      <c r="IU89" s="4"/>
      <c r="IV89" s="4"/>
      <c r="IW89" s="4"/>
      <c r="IX89" s="4"/>
      <c r="IY89" s="4"/>
      <c r="IZ89" s="4"/>
      <c r="JA89" s="4"/>
      <c r="JB89" s="4"/>
      <c r="JC89" s="4"/>
      <c r="JD89" s="4"/>
      <c r="JE89" s="4"/>
      <c r="JF89" s="4"/>
      <c r="JG89" s="4"/>
      <c r="JH89" s="4"/>
      <c r="JI89" s="4"/>
      <c r="JJ89" s="4"/>
      <c r="JK89" s="4"/>
      <c r="JL89" s="4"/>
      <c r="JM89" s="4"/>
      <c r="JN89" s="4"/>
      <c r="JO89" s="4"/>
      <c r="JP89" s="4"/>
      <c r="JQ89" s="4"/>
      <c r="JR89" s="4"/>
      <c r="JS89" s="4"/>
      <c r="JT89" s="4"/>
      <c r="JU89" s="4"/>
      <c r="JV89" s="4"/>
      <c r="JW89" s="4"/>
      <c r="JX89" s="4"/>
      <c r="JY89" s="4"/>
      <c r="JZ89" s="4"/>
      <c r="KA89" s="4"/>
      <c r="KB89" s="4"/>
      <c r="KC89" s="4"/>
      <c r="KD89" s="4"/>
      <c r="KE89" s="4"/>
      <c r="KF89" s="4"/>
      <c r="KG89" s="4"/>
      <c r="KH89" s="4"/>
      <c r="KI89" s="4"/>
      <c r="KJ89" s="4"/>
      <c r="KK89" s="4"/>
      <c r="KL89" s="4"/>
      <c r="KM89" s="4"/>
      <c r="KN89" s="4"/>
      <c r="KO89" s="4"/>
      <c r="KP89" s="4"/>
      <c r="KQ89" s="4"/>
      <c r="KR89" s="4"/>
      <c r="KS89" s="4"/>
      <c r="KT89" s="4"/>
      <c r="KU89" s="4"/>
      <c r="KV89" s="4"/>
      <c r="KW89" s="4"/>
      <c r="KX89" s="4"/>
      <c r="KY89" s="4"/>
      <c r="KZ89" s="4"/>
      <c r="LA89" s="4"/>
      <c r="LB89" s="4"/>
      <c r="LC89" s="4"/>
      <c r="LD89" s="4"/>
    </row>
    <row r="90" spans="1:316" s="15" customFormat="1" ht="15" thickBot="1" x14ac:dyDescent="0.35">
      <c r="A90" s="19" t="s">
        <v>116</v>
      </c>
      <c r="B90" s="18"/>
      <c r="C90" s="18"/>
      <c r="D90" s="18">
        <f>SUM(D81:D89)</f>
        <v>16164.4</v>
      </c>
      <c r="E90" s="17">
        <f>SUM(E81:E89)</f>
        <v>781150.63500000001</v>
      </c>
      <c r="F90" s="16"/>
      <c r="G90"/>
      <c r="H90"/>
      <c r="I90"/>
      <c r="J90"/>
      <c r="K90"/>
      <c r="L90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  <c r="HK90" s="4"/>
      <c r="HL90" s="4"/>
      <c r="HM90" s="4"/>
      <c r="HN90" s="4"/>
      <c r="HO90" s="4"/>
      <c r="HP90" s="4"/>
      <c r="HQ90" s="4"/>
      <c r="HR90" s="4"/>
      <c r="HS90" s="4"/>
      <c r="HT90" s="4"/>
      <c r="HU90" s="4"/>
      <c r="HV90" s="4"/>
      <c r="HW90" s="4"/>
      <c r="HX90" s="4"/>
      <c r="HY90" s="4"/>
      <c r="HZ90" s="4"/>
      <c r="IA90" s="4"/>
      <c r="IB90" s="4"/>
      <c r="IC90" s="4"/>
      <c r="ID90" s="4"/>
      <c r="IE90" s="4"/>
      <c r="IF90" s="4"/>
      <c r="IG90" s="4"/>
      <c r="IH90" s="4"/>
      <c r="II90" s="4"/>
      <c r="IJ90" s="4"/>
      <c r="IK90" s="4"/>
      <c r="IL90" s="4"/>
      <c r="IM90" s="4"/>
      <c r="IN90" s="4"/>
      <c r="IO90" s="4"/>
      <c r="IP90" s="4"/>
      <c r="IQ90" s="4"/>
      <c r="IR90" s="4"/>
      <c r="IS90" s="4"/>
      <c r="IT90" s="4"/>
      <c r="IU90" s="4"/>
      <c r="IV90" s="4"/>
      <c r="IW90" s="4"/>
      <c r="IX90" s="4"/>
      <c r="IY90" s="4"/>
      <c r="IZ90" s="4"/>
      <c r="JA90" s="4"/>
      <c r="JB90" s="4"/>
      <c r="JC90" s="4"/>
      <c r="JD90" s="4"/>
      <c r="JE90" s="4"/>
      <c r="JF90" s="4"/>
      <c r="JG90" s="4"/>
      <c r="JH90" s="4"/>
      <c r="JI90" s="4"/>
      <c r="JJ90" s="4"/>
      <c r="JK90" s="4"/>
      <c r="JL90" s="4"/>
      <c r="JM90" s="4"/>
      <c r="JN90" s="4"/>
      <c r="JO90" s="4"/>
      <c r="JP90" s="4"/>
      <c r="JQ90" s="4"/>
      <c r="JR90" s="4"/>
      <c r="JS90" s="4"/>
      <c r="JT90" s="4"/>
      <c r="JU90" s="4"/>
      <c r="JV90" s="4"/>
      <c r="JW90" s="4"/>
      <c r="JX90" s="4"/>
      <c r="JY90" s="4"/>
      <c r="JZ90" s="4"/>
      <c r="KA90" s="4"/>
      <c r="KB90" s="4"/>
      <c r="KC90" s="4"/>
      <c r="KD90" s="4"/>
      <c r="KE90" s="4"/>
      <c r="KF90" s="4"/>
      <c r="KG90" s="4"/>
      <c r="KH90" s="4"/>
      <c r="KI90" s="4"/>
      <c r="KJ90" s="4"/>
      <c r="KK90" s="4"/>
      <c r="KL90" s="4"/>
      <c r="KM90" s="4"/>
      <c r="KN90" s="4"/>
      <c r="KO90" s="4"/>
      <c r="KP90" s="4"/>
      <c r="KQ90" s="4"/>
      <c r="KR90" s="4"/>
      <c r="KS90" s="4"/>
      <c r="KT90" s="4"/>
      <c r="KU90" s="4"/>
      <c r="KV90" s="4"/>
      <c r="KW90" s="4"/>
      <c r="KX90" s="4"/>
      <c r="KY90" s="4"/>
      <c r="KZ90" s="4"/>
      <c r="LA90" s="4"/>
      <c r="LB90" s="4"/>
      <c r="LC90" s="4"/>
      <c r="LD90" s="4"/>
    </row>
  </sheetData>
  <pageMargins left="0.7" right="0.7" top="0.75" bottom="0.75" header="0.3" footer="0.3"/>
  <pageSetup paperSize="9" orientation="landscape" r:id="rId1"/>
  <rowBreaks count="2" manualBreakCount="2">
    <brk id="24" max="16383" man="1"/>
    <brk id="50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workbookViewId="0">
      <selection sqref="A1:K1"/>
    </sheetView>
  </sheetViews>
  <sheetFormatPr defaultRowHeight="14.4" x14ac:dyDescent="0.3"/>
  <cols>
    <col min="1" max="1" width="3" bestFit="1" customWidth="1"/>
    <col min="2" max="2" width="4" bestFit="1" customWidth="1"/>
    <col min="3" max="3" width="3" bestFit="1" customWidth="1"/>
    <col min="4" max="4" width="38.5546875" customWidth="1"/>
    <col min="5" max="5" width="23.77734375" bestFit="1" customWidth="1"/>
    <col min="9" max="9" width="9.44140625" bestFit="1" customWidth="1"/>
    <col min="10" max="10" width="14.44140625" bestFit="1" customWidth="1"/>
    <col min="11" max="11" width="10.44140625" bestFit="1" customWidth="1"/>
  </cols>
  <sheetData>
    <row r="1" spans="1:11" ht="15" thickBot="1" x14ac:dyDescent="0.35">
      <c r="A1" s="116" t="s">
        <v>20</v>
      </c>
      <c r="B1" s="117"/>
      <c r="C1" s="117"/>
      <c r="D1" s="117"/>
      <c r="E1" s="117"/>
      <c r="F1" s="117"/>
      <c r="G1" s="117"/>
      <c r="H1" s="117"/>
      <c r="I1" s="117"/>
      <c r="J1" s="117"/>
      <c r="K1" s="118"/>
    </row>
    <row r="2" spans="1:11" x14ac:dyDescent="0.3">
      <c r="A2" s="12" t="s">
        <v>0</v>
      </c>
      <c r="B2" s="13" t="s">
        <v>1</v>
      </c>
      <c r="C2" s="13" t="s">
        <v>2</v>
      </c>
      <c r="D2" s="13" t="s">
        <v>15</v>
      </c>
      <c r="E2" s="13" t="s">
        <v>19</v>
      </c>
      <c r="F2" s="13" t="s">
        <v>16</v>
      </c>
      <c r="G2" s="13" t="s">
        <v>17</v>
      </c>
      <c r="H2" s="13" t="s">
        <v>18</v>
      </c>
      <c r="I2" s="13" t="s">
        <v>3</v>
      </c>
      <c r="J2" s="13" t="s">
        <v>5</v>
      </c>
      <c r="K2" s="14" t="s">
        <v>4</v>
      </c>
    </row>
    <row r="3" spans="1:11" x14ac:dyDescent="0.3">
      <c r="A3" s="5" t="s">
        <v>6</v>
      </c>
      <c r="B3" s="6"/>
      <c r="C3" s="6"/>
      <c r="D3" s="7" t="s">
        <v>21</v>
      </c>
      <c r="H3" s="111" t="str">
        <f>_xlfn.XLOOKUP(E3,$D$77:$D$82,$E$77:$E$82,"")</f>
        <v/>
      </c>
      <c r="I3" s="111" t="str">
        <f>IFERROR(H3*F3,"")</f>
        <v/>
      </c>
      <c r="K3" s="115">
        <f>SUM(J4:J19)</f>
        <v>1493.463760343242</v>
      </c>
    </row>
    <row r="4" spans="1:11" x14ac:dyDescent="0.3">
      <c r="A4" s="5"/>
      <c r="B4" s="6" t="s">
        <v>7</v>
      </c>
      <c r="C4" s="6"/>
      <c r="D4" s="1" t="s">
        <v>22</v>
      </c>
      <c r="E4" t="s">
        <v>109</v>
      </c>
      <c r="F4">
        <v>2</v>
      </c>
      <c r="G4" t="s">
        <v>108</v>
      </c>
      <c r="H4" s="111">
        <f>_xlfn.XLOOKUP(E4,$D$77:$D$82,$E$77:$E$82,"")</f>
        <v>49.782125344774748</v>
      </c>
      <c r="I4" s="111">
        <f t="shared" ref="I4:I67" si="0">IFERROR(H4*F4,"")</f>
        <v>99.564250689549496</v>
      </c>
      <c r="J4" s="111">
        <f>I4</f>
        <v>99.564250689549496</v>
      </c>
      <c r="K4" s="112"/>
    </row>
    <row r="5" spans="1:11" x14ac:dyDescent="0.3">
      <c r="A5" s="5"/>
      <c r="B5" s="6" t="s">
        <v>13</v>
      </c>
      <c r="C5" s="6"/>
      <c r="D5" s="1" t="s">
        <v>23</v>
      </c>
      <c r="E5" t="s">
        <v>109</v>
      </c>
      <c r="F5">
        <v>2</v>
      </c>
      <c r="G5" t="s">
        <v>108</v>
      </c>
      <c r="H5" s="111">
        <f t="shared" ref="H5:H68" si="1">_xlfn.XLOOKUP(E5,$D$77:$D$82,$E$77:$E$82,"")</f>
        <v>49.782125344774748</v>
      </c>
      <c r="I5" s="111">
        <f t="shared" si="0"/>
        <v>99.564250689549496</v>
      </c>
      <c r="J5" s="111">
        <f>I5</f>
        <v>99.564250689549496</v>
      </c>
      <c r="K5" s="112"/>
    </row>
    <row r="6" spans="1:11" x14ac:dyDescent="0.3">
      <c r="A6" s="5"/>
      <c r="B6" s="6" t="s">
        <v>14</v>
      </c>
      <c r="C6" s="6"/>
      <c r="D6" s="1" t="s">
        <v>24</v>
      </c>
      <c r="H6" s="111" t="str">
        <f t="shared" si="1"/>
        <v/>
      </c>
      <c r="I6" s="111" t="str">
        <f t="shared" si="0"/>
        <v/>
      </c>
      <c r="J6" s="111">
        <f>SUM(I7:I19)</f>
        <v>1294.3352589641431</v>
      </c>
      <c r="K6" s="112"/>
    </row>
    <row r="7" spans="1:11" x14ac:dyDescent="0.3">
      <c r="A7" s="5"/>
      <c r="B7" s="6"/>
      <c r="C7" s="6" t="s">
        <v>6</v>
      </c>
      <c r="D7" s="1" t="s">
        <v>25</v>
      </c>
      <c r="E7" t="s">
        <v>109</v>
      </c>
      <c r="F7">
        <v>2</v>
      </c>
      <c r="G7" t="s">
        <v>108</v>
      </c>
      <c r="H7" s="111">
        <f t="shared" si="1"/>
        <v>49.782125344774748</v>
      </c>
      <c r="I7" s="111">
        <f t="shared" si="0"/>
        <v>99.564250689549496</v>
      </c>
      <c r="J7" s="111"/>
      <c r="K7" s="112"/>
    </row>
    <row r="8" spans="1:11" x14ac:dyDescent="0.3">
      <c r="A8" s="5"/>
      <c r="B8" s="6"/>
      <c r="C8" s="6" t="s">
        <v>8</v>
      </c>
      <c r="D8" s="1" t="s">
        <v>26</v>
      </c>
      <c r="E8" t="s">
        <v>109</v>
      </c>
      <c r="F8">
        <v>2</v>
      </c>
      <c r="G8" t="s">
        <v>108</v>
      </c>
      <c r="H8" s="111">
        <f t="shared" si="1"/>
        <v>49.782125344774748</v>
      </c>
      <c r="I8" s="111">
        <f t="shared" si="0"/>
        <v>99.564250689549496</v>
      </c>
      <c r="J8" s="111"/>
      <c r="K8" s="112"/>
    </row>
    <row r="9" spans="1:11" x14ac:dyDescent="0.3">
      <c r="A9" s="5"/>
      <c r="B9" s="6"/>
      <c r="C9" s="6" t="s">
        <v>9</v>
      </c>
      <c r="D9" s="1" t="s">
        <v>27</v>
      </c>
      <c r="E9" t="s">
        <v>109</v>
      </c>
      <c r="F9">
        <v>2</v>
      </c>
      <c r="G9" t="s">
        <v>108</v>
      </c>
      <c r="H9" s="111">
        <f t="shared" si="1"/>
        <v>49.782125344774748</v>
      </c>
      <c r="I9" s="111">
        <f t="shared" si="0"/>
        <v>99.564250689549496</v>
      </c>
      <c r="J9" s="111"/>
      <c r="K9" s="112"/>
    </row>
    <row r="10" spans="1:11" x14ac:dyDescent="0.3">
      <c r="A10" s="5"/>
      <c r="B10" s="6"/>
      <c r="C10" s="6" t="s">
        <v>10</v>
      </c>
      <c r="D10" s="1" t="s">
        <v>28</v>
      </c>
      <c r="E10" t="s">
        <v>109</v>
      </c>
      <c r="F10">
        <v>2</v>
      </c>
      <c r="G10" t="s">
        <v>108</v>
      </c>
      <c r="H10" s="111">
        <f t="shared" si="1"/>
        <v>49.782125344774748</v>
      </c>
      <c r="I10" s="111">
        <f t="shared" si="0"/>
        <v>99.564250689549496</v>
      </c>
      <c r="J10" s="111"/>
      <c r="K10" s="112"/>
    </row>
    <row r="11" spans="1:11" x14ac:dyDescent="0.3">
      <c r="A11" s="5"/>
      <c r="B11" s="6"/>
      <c r="C11" s="6" t="s">
        <v>11</v>
      </c>
      <c r="D11" s="1" t="s">
        <v>29</v>
      </c>
      <c r="E11" t="s">
        <v>109</v>
      </c>
      <c r="F11">
        <v>2</v>
      </c>
      <c r="G11" t="s">
        <v>108</v>
      </c>
      <c r="H11" s="111">
        <f t="shared" si="1"/>
        <v>49.782125344774748</v>
      </c>
      <c r="I11" s="111">
        <f t="shared" si="0"/>
        <v>99.564250689549496</v>
      </c>
      <c r="J11" s="111"/>
      <c r="K11" s="112"/>
    </row>
    <row r="12" spans="1:11" x14ac:dyDescent="0.3">
      <c r="A12" s="5"/>
      <c r="B12" s="6"/>
      <c r="C12" s="6" t="s">
        <v>12</v>
      </c>
      <c r="D12" s="1" t="s">
        <v>30</v>
      </c>
      <c r="E12" t="s">
        <v>109</v>
      </c>
      <c r="F12">
        <v>2</v>
      </c>
      <c r="G12" t="s">
        <v>108</v>
      </c>
      <c r="H12" s="111">
        <f t="shared" si="1"/>
        <v>49.782125344774748</v>
      </c>
      <c r="I12" s="111">
        <f t="shared" si="0"/>
        <v>99.564250689549496</v>
      </c>
      <c r="J12" s="111"/>
      <c r="K12" s="112"/>
    </row>
    <row r="13" spans="1:11" x14ac:dyDescent="0.3">
      <c r="A13" s="5"/>
      <c r="B13" s="6"/>
      <c r="C13" s="6" t="s">
        <v>92</v>
      </c>
      <c r="D13" s="1" t="s">
        <v>31</v>
      </c>
      <c r="E13" t="s">
        <v>109</v>
      </c>
      <c r="F13">
        <v>2</v>
      </c>
      <c r="G13" t="s">
        <v>108</v>
      </c>
      <c r="H13" s="111">
        <f t="shared" si="1"/>
        <v>49.782125344774748</v>
      </c>
      <c r="I13" s="111">
        <f t="shared" si="0"/>
        <v>99.564250689549496</v>
      </c>
      <c r="J13" s="111"/>
      <c r="K13" s="112"/>
    </row>
    <row r="14" spans="1:11" x14ac:dyDescent="0.3">
      <c r="A14" s="5"/>
      <c r="B14" s="6"/>
      <c r="C14" s="6" t="s">
        <v>93</v>
      </c>
      <c r="D14" s="1" t="s">
        <v>32</v>
      </c>
      <c r="E14" t="s">
        <v>109</v>
      </c>
      <c r="F14">
        <v>2</v>
      </c>
      <c r="G14" t="s">
        <v>108</v>
      </c>
      <c r="H14" s="111">
        <f t="shared" si="1"/>
        <v>49.782125344774748</v>
      </c>
      <c r="I14" s="111">
        <f t="shared" si="0"/>
        <v>99.564250689549496</v>
      </c>
      <c r="J14" s="111"/>
      <c r="K14" s="112"/>
    </row>
    <row r="15" spans="1:11" x14ac:dyDescent="0.3">
      <c r="A15" s="5"/>
      <c r="B15" s="6"/>
      <c r="C15" s="6" t="s">
        <v>94</v>
      </c>
      <c r="D15" s="1" t="s">
        <v>33</v>
      </c>
      <c r="E15" t="s">
        <v>109</v>
      </c>
      <c r="F15">
        <v>2</v>
      </c>
      <c r="G15" t="s">
        <v>108</v>
      </c>
      <c r="H15" s="111">
        <f t="shared" si="1"/>
        <v>49.782125344774748</v>
      </c>
      <c r="I15" s="111">
        <f t="shared" si="0"/>
        <v>99.564250689549496</v>
      </c>
      <c r="J15" s="111"/>
      <c r="K15" s="112"/>
    </row>
    <row r="16" spans="1:11" x14ac:dyDescent="0.3">
      <c r="A16" s="5"/>
      <c r="B16" s="6"/>
      <c r="C16" s="6" t="s">
        <v>95</v>
      </c>
      <c r="D16" s="1" t="s">
        <v>34</v>
      </c>
      <c r="E16" t="s">
        <v>109</v>
      </c>
      <c r="F16">
        <v>2</v>
      </c>
      <c r="G16" t="s">
        <v>108</v>
      </c>
      <c r="H16" s="111">
        <f t="shared" si="1"/>
        <v>49.782125344774748</v>
      </c>
      <c r="I16" s="111">
        <f t="shared" si="0"/>
        <v>99.564250689549496</v>
      </c>
      <c r="J16" s="111"/>
      <c r="K16" s="112"/>
    </row>
    <row r="17" spans="1:11" x14ac:dyDescent="0.3">
      <c r="A17" s="5"/>
      <c r="B17" s="6"/>
      <c r="C17" s="6" t="s">
        <v>96</v>
      </c>
      <c r="D17" s="1" t="s">
        <v>35</v>
      </c>
      <c r="E17" t="s">
        <v>109</v>
      </c>
      <c r="F17">
        <v>2</v>
      </c>
      <c r="G17" t="s">
        <v>108</v>
      </c>
      <c r="H17" s="111">
        <f t="shared" si="1"/>
        <v>49.782125344774748</v>
      </c>
      <c r="I17" s="111">
        <f t="shared" si="0"/>
        <v>99.564250689549496</v>
      </c>
      <c r="J17" s="111"/>
      <c r="K17" s="112"/>
    </row>
    <row r="18" spans="1:11" x14ac:dyDescent="0.3">
      <c r="A18" s="5"/>
      <c r="B18" s="6"/>
      <c r="C18" s="6" t="s">
        <v>97</v>
      </c>
      <c r="D18" s="1" t="s">
        <v>36</v>
      </c>
      <c r="E18" t="s">
        <v>109</v>
      </c>
      <c r="F18">
        <v>2</v>
      </c>
      <c r="G18" t="s">
        <v>108</v>
      </c>
      <c r="H18" s="111">
        <f t="shared" si="1"/>
        <v>49.782125344774748</v>
      </c>
      <c r="I18" s="111">
        <f t="shared" si="0"/>
        <v>99.564250689549496</v>
      </c>
      <c r="J18" s="111"/>
      <c r="K18" s="112"/>
    </row>
    <row r="19" spans="1:11" x14ac:dyDescent="0.3">
      <c r="A19" s="5"/>
      <c r="B19" s="6"/>
      <c r="C19" s="6" t="s">
        <v>98</v>
      </c>
      <c r="D19" s="1" t="s">
        <v>37</v>
      </c>
      <c r="E19" t="s">
        <v>109</v>
      </c>
      <c r="F19">
        <v>2</v>
      </c>
      <c r="G19" t="s">
        <v>108</v>
      </c>
      <c r="H19" s="111">
        <f t="shared" si="1"/>
        <v>49.782125344774748</v>
      </c>
      <c r="I19" s="111">
        <f t="shared" si="0"/>
        <v>99.564250689549496</v>
      </c>
      <c r="J19" s="111"/>
      <c r="K19" s="112"/>
    </row>
    <row r="20" spans="1:11" x14ac:dyDescent="0.3">
      <c r="A20" s="5" t="s">
        <v>8</v>
      </c>
      <c r="B20" s="6"/>
      <c r="C20" s="6"/>
      <c r="D20" s="7" t="s">
        <v>38</v>
      </c>
      <c r="H20" s="111" t="str">
        <f t="shared" si="1"/>
        <v/>
      </c>
      <c r="I20" s="111" t="str">
        <f t="shared" si="0"/>
        <v/>
      </c>
      <c r="J20" s="111"/>
      <c r="K20" s="112">
        <f>SUM(J21:J30)</f>
        <v>2307.2124370166389</v>
      </c>
    </row>
    <row r="21" spans="1:11" x14ac:dyDescent="0.3">
      <c r="A21" s="5"/>
      <c r="B21" s="6" t="s">
        <v>7</v>
      </c>
      <c r="C21" s="6"/>
      <c r="D21" s="1" t="s">
        <v>39</v>
      </c>
      <c r="E21" t="s">
        <v>111</v>
      </c>
      <c r="F21">
        <v>1</v>
      </c>
      <c r="G21" t="s">
        <v>108</v>
      </c>
      <c r="H21" s="111">
        <f t="shared" si="1"/>
        <v>42.159269173306768</v>
      </c>
      <c r="I21" s="111">
        <f t="shared" si="0"/>
        <v>42.159269173306768</v>
      </c>
      <c r="J21" s="111">
        <f t="shared" ref="J21:J30" si="2">I21</f>
        <v>42.159269173306768</v>
      </c>
      <c r="K21" s="112"/>
    </row>
    <row r="22" spans="1:11" x14ac:dyDescent="0.3">
      <c r="A22" s="5"/>
      <c r="B22" s="6" t="s">
        <v>13</v>
      </c>
      <c r="C22" s="6"/>
      <c r="D22" s="1" t="s">
        <v>40</v>
      </c>
      <c r="E22" t="s">
        <v>112</v>
      </c>
      <c r="F22">
        <v>4</v>
      </c>
      <c r="G22" t="s">
        <v>108</v>
      </c>
      <c r="H22" s="111">
        <f t="shared" si="1"/>
        <v>45.220459339114129</v>
      </c>
      <c r="I22" s="111">
        <f t="shared" si="0"/>
        <v>180.88183735645651</v>
      </c>
      <c r="J22" s="111">
        <f t="shared" si="2"/>
        <v>180.88183735645651</v>
      </c>
      <c r="K22" s="112"/>
    </row>
    <row r="23" spans="1:11" x14ac:dyDescent="0.3">
      <c r="A23" s="5"/>
      <c r="B23" s="6" t="s">
        <v>14</v>
      </c>
      <c r="C23" s="6"/>
      <c r="D23" s="1" t="s">
        <v>41</v>
      </c>
      <c r="E23" t="s">
        <v>111</v>
      </c>
      <c r="F23">
        <v>2</v>
      </c>
      <c r="G23" t="s">
        <v>108</v>
      </c>
      <c r="H23" s="111">
        <f t="shared" si="1"/>
        <v>42.159269173306768</v>
      </c>
      <c r="I23" s="111">
        <f t="shared" si="0"/>
        <v>84.318538346613536</v>
      </c>
      <c r="J23" s="111">
        <f t="shared" si="2"/>
        <v>84.318538346613536</v>
      </c>
      <c r="K23" s="112"/>
    </row>
    <row r="24" spans="1:11" x14ac:dyDescent="0.3">
      <c r="A24" s="5"/>
      <c r="B24" s="6" t="s">
        <v>99</v>
      </c>
      <c r="C24" s="6"/>
      <c r="D24" s="1" t="s">
        <v>42</v>
      </c>
      <c r="E24" t="s">
        <v>111</v>
      </c>
      <c r="F24">
        <v>1</v>
      </c>
      <c r="G24" t="s">
        <v>108</v>
      </c>
      <c r="H24" s="111">
        <f t="shared" si="1"/>
        <v>42.159269173306768</v>
      </c>
      <c r="I24" s="111">
        <f t="shared" si="0"/>
        <v>42.159269173306768</v>
      </c>
      <c r="J24" s="111">
        <f t="shared" si="2"/>
        <v>42.159269173306768</v>
      </c>
      <c r="K24" s="112"/>
    </row>
    <row r="25" spans="1:11" x14ac:dyDescent="0.3">
      <c r="A25" s="5"/>
      <c r="B25" s="6" t="s">
        <v>100</v>
      </c>
      <c r="C25" s="6"/>
      <c r="D25" s="1" t="s">
        <v>43</v>
      </c>
      <c r="E25" t="s">
        <v>111</v>
      </c>
      <c r="F25">
        <v>2</v>
      </c>
      <c r="G25" t="s">
        <v>108</v>
      </c>
      <c r="H25" s="111">
        <f t="shared" si="1"/>
        <v>42.159269173306768</v>
      </c>
      <c r="I25" s="111">
        <f t="shared" si="0"/>
        <v>84.318538346613536</v>
      </c>
      <c r="J25" s="111">
        <f t="shared" si="2"/>
        <v>84.318538346613536</v>
      </c>
      <c r="K25" s="112"/>
    </row>
    <row r="26" spans="1:11" x14ac:dyDescent="0.3">
      <c r="A26" s="5"/>
      <c r="B26" s="6" t="s">
        <v>101</v>
      </c>
      <c r="C26" s="6"/>
      <c r="D26" s="1" t="s">
        <v>44</v>
      </c>
      <c r="E26" t="s">
        <v>112</v>
      </c>
      <c r="F26">
        <v>6</v>
      </c>
      <c r="G26" t="s">
        <v>108</v>
      </c>
      <c r="H26" s="111">
        <f t="shared" si="1"/>
        <v>45.220459339114129</v>
      </c>
      <c r="I26" s="111">
        <f t="shared" si="0"/>
        <v>271.32275603468474</v>
      </c>
      <c r="J26" s="111">
        <f t="shared" si="2"/>
        <v>271.32275603468474</v>
      </c>
      <c r="K26" s="112"/>
    </row>
    <row r="27" spans="1:11" x14ac:dyDescent="0.3">
      <c r="A27" s="5"/>
      <c r="B27" s="6" t="s">
        <v>102</v>
      </c>
      <c r="C27" s="6"/>
      <c r="D27" s="1" t="s">
        <v>45</v>
      </c>
      <c r="E27" t="s">
        <v>111</v>
      </c>
      <c r="F27">
        <v>22</v>
      </c>
      <c r="G27" t="s">
        <v>108</v>
      </c>
      <c r="H27" s="111">
        <f t="shared" si="1"/>
        <v>42.159269173306768</v>
      </c>
      <c r="I27" s="111">
        <f t="shared" si="0"/>
        <v>927.5039218127489</v>
      </c>
      <c r="J27" s="111">
        <f t="shared" si="2"/>
        <v>927.5039218127489</v>
      </c>
      <c r="K27" s="112"/>
    </row>
    <row r="28" spans="1:11" x14ac:dyDescent="0.3">
      <c r="A28" s="5"/>
      <c r="B28" s="6" t="s">
        <v>103</v>
      </c>
      <c r="C28" s="6"/>
      <c r="D28" s="1" t="s">
        <v>46</v>
      </c>
      <c r="E28" t="s">
        <v>111</v>
      </c>
      <c r="F28">
        <v>6</v>
      </c>
      <c r="G28" t="s">
        <v>108</v>
      </c>
      <c r="H28" s="111">
        <f t="shared" si="1"/>
        <v>42.159269173306768</v>
      </c>
      <c r="I28" s="111">
        <f t="shared" si="0"/>
        <v>252.95561503984061</v>
      </c>
      <c r="J28" s="111">
        <f t="shared" si="2"/>
        <v>252.95561503984061</v>
      </c>
      <c r="K28" s="112"/>
    </row>
    <row r="29" spans="1:11" x14ac:dyDescent="0.3">
      <c r="A29" s="5"/>
      <c r="B29" s="6" t="s">
        <v>104</v>
      </c>
      <c r="C29" s="6"/>
      <c r="D29" s="1" t="s">
        <v>47</v>
      </c>
      <c r="E29" t="s">
        <v>111</v>
      </c>
      <c r="F29">
        <v>2</v>
      </c>
      <c r="G29" t="s">
        <v>108</v>
      </c>
      <c r="H29" s="111">
        <f t="shared" si="1"/>
        <v>42.159269173306768</v>
      </c>
      <c r="I29" s="111">
        <f t="shared" si="0"/>
        <v>84.318538346613536</v>
      </c>
      <c r="J29" s="111">
        <f t="shared" si="2"/>
        <v>84.318538346613536</v>
      </c>
      <c r="K29" s="112"/>
    </row>
    <row r="30" spans="1:11" x14ac:dyDescent="0.3">
      <c r="A30" s="5"/>
      <c r="B30" s="6" t="s">
        <v>105</v>
      </c>
      <c r="C30" s="6"/>
      <c r="D30" s="1" t="s">
        <v>48</v>
      </c>
      <c r="E30" t="s">
        <v>111</v>
      </c>
      <c r="F30">
        <v>8</v>
      </c>
      <c r="G30" t="s">
        <v>108</v>
      </c>
      <c r="H30" s="111">
        <f t="shared" si="1"/>
        <v>42.159269173306768</v>
      </c>
      <c r="I30" s="111">
        <f t="shared" si="0"/>
        <v>337.27415338645415</v>
      </c>
      <c r="J30" s="111">
        <f t="shared" si="2"/>
        <v>337.27415338645415</v>
      </c>
      <c r="K30" s="112"/>
    </row>
    <row r="31" spans="1:11" x14ac:dyDescent="0.3">
      <c r="A31" s="5" t="s">
        <v>9</v>
      </c>
      <c r="B31" s="6"/>
      <c r="C31" s="6"/>
      <c r="D31" s="7" t="s">
        <v>49</v>
      </c>
      <c r="H31" s="111" t="str">
        <f t="shared" si="1"/>
        <v/>
      </c>
      <c r="I31" s="111" t="str">
        <f t="shared" si="0"/>
        <v/>
      </c>
      <c r="J31" s="111"/>
      <c r="K31" s="112">
        <f>SUM(J32:J38)</f>
        <v>2273.3693320555312</v>
      </c>
    </row>
    <row r="32" spans="1:11" x14ac:dyDescent="0.3">
      <c r="A32" s="5"/>
      <c r="B32" s="6" t="s">
        <v>7</v>
      </c>
      <c r="C32" s="6"/>
      <c r="D32" s="1" t="s">
        <v>50</v>
      </c>
      <c r="E32" t="s">
        <v>113</v>
      </c>
      <c r="F32">
        <v>10</v>
      </c>
      <c r="G32" t="s">
        <v>108</v>
      </c>
      <c r="H32" s="111">
        <f t="shared" si="1"/>
        <v>49.154057104913683</v>
      </c>
      <c r="I32" s="111">
        <f t="shared" si="0"/>
        <v>491.54057104913682</v>
      </c>
      <c r="J32" s="111">
        <f t="shared" ref="J32:J38" si="3">I32</f>
        <v>491.54057104913682</v>
      </c>
      <c r="K32" s="112"/>
    </row>
    <row r="33" spans="1:11" x14ac:dyDescent="0.3">
      <c r="A33" s="5"/>
      <c r="B33" s="6" t="s">
        <v>13</v>
      </c>
      <c r="C33" s="6"/>
      <c r="D33" s="1" t="s">
        <v>51</v>
      </c>
      <c r="E33" t="s">
        <v>115</v>
      </c>
      <c r="F33">
        <v>3</v>
      </c>
      <c r="G33" t="s">
        <v>108</v>
      </c>
      <c r="H33" s="111">
        <f t="shared" si="1"/>
        <v>38.551814171883898</v>
      </c>
      <c r="I33" s="111">
        <f t="shared" si="0"/>
        <v>115.65544251565169</v>
      </c>
      <c r="J33" s="111">
        <f t="shared" si="3"/>
        <v>115.65544251565169</v>
      </c>
      <c r="K33" s="112"/>
    </row>
    <row r="34" spans="1:11" x14ac:dyDescent="0.3">
      <c r="A34" s="5"/>
      <c r="B34" s="6" t="s">
        <v>14</v>
      </c>
      <c r="C34" s="6"/>
      <c r="D34" s="1" t="s">
        <v>52</v>
      </c>
      <c r="E34" t="s">
        <v>114</v>
      </c>
      <c r="F34">
        <v>8</v>
      </c>
      <c r="G34" t="s">
        <v>108</v>
      </c>
      <c r="H34" s="111">
        <f t="shared" si="1"/>
        <v>43.846666276072185</v>
      </c>
      <c r="I34" s="111">
        <f t="shared" si="0"/>
        <v>350.77333020857748</v>
      </c>
      <c r="J34" s="111">
        <f t="shared" si="3"/>
        <v>350.77333020857748</v>
      </c>
      <c r="K34" s="112"/>
    </row>
    <row r="35" spans="1:11" x14ac:dyDescent="0.3">
      <c r="A35" s="5"/>
      <c r="B35" s="6" t="s">
        <v>99</v>
      </c>
      <c r="C35" s="6"/>
      <c r="D35" s="1" t="s">
        <v>53</v>
      </c>
      <c r="E35" t="s">
        <v>114</v>
      </c>
      <c r="F35">
        <v>4</v>
      </c>
      <c r="G35" t="s">
        <v>108</v>
      </c>
      <c r="H35" s="111">
        <f t="shared" si="1"/>
        <v>43.846666276072185</v>
      </c>
      <c r="I35" s="111">
        <f t="shared" si="0"/>
        <v>175.38666510428874</v>
      </c>
      <c r="J35" s="111">
        <f t="shared" si="3"/>
        <v>175.38666510428874</v>
      </c>
      <c r="K35" s="112"/>
    </row>
    <row r="36" spans="1:11" x14ac:dyDescent="0.3">
      <c r="A36" s="5"/>
      <c r="B36" s="6" t="s">
        <v>100</v>
      </c>
      <c r="C36" s="6"/>
      <c r="D36" s="1" t="s">
        <v>54</v>
      </c>
      <c r="E36" t="s">
        <v>114</v>
      </c>
      <c r="F36">
        <v>6</v>
      </c>
      <c r="G36" t="s">
        <v>108</v>
      </c>
      <c r="H36" s="111">
        <f t="shared" si="1"/>
        <v>43.846666276072185</v>
      </c>
      <c r="I36" s="111">
        <f t="shared" si="0"/>
        <v>263.07999765643308</v>
      </c>
      <c r="J36" s="111">
        <f t="shared" si="3"/>
        <v>263.07999765643308</v>
      </c>
      <c r="K36" s="112"/>
    </row>
    <row r="37" spans="1:11" x14ac:dyDescent="0.3">
      <c r="A37" s="5"/>
      <c r="B37" s="6" t="s">
        <v>101</v>
      </c>
      <c r="C37" s="6"/>
      <c r="D37" s="1" t="s">
        <v>55</v>
      </c>
      <c r="E37" t="s">
        <v>114</v>
      </c>
      <c r="F37">
        <v>10</v>
      </c>
      <c r="G37" t="s">
        <v>108</v>
      </c>
      <c r="H37" s="111">
        <f t="shared" si="1"/>
        <v>43.846666276072185</v>
      </c>
      <c r="I37" s="111">
        <f t="shared" si="0"/>
        <v>438.46666276072187</v>
      </c>
      <c r="J37" s="111">
        <f t="shared" si="3"/>
        <v>438.46666276072187</v>
      </c>
      <c r="K37" s="112"/>
    </row>
    <row r="38" spans="1:11" ht="28.8" x14ac:dyDescent="0.3">
      <c r="A38" s="5"/>
      <c r="B38" s="6" t="s">
        <v>102</v>
      </c>
      <c r="C38" s="6"/>
      <c r="D38" s="1" t="s">
        <v>56</v>
      </c>
      <c r="E38" t="s">
        <v>114</v>
      </c>
      <c r="F38">
        <v>10</v>
      </c>
      <c r="G38" t="s">
        <v>108</v>
      </c>
      <c r="H38" s="111">
        <f t="shared" si="1"/>
        <v>43.846666276072185</v>
      </c>
      <c r="I38" s="111">
        <f t="shared" si="0"/>
        <v>438.46666276072187</v>
      </c>
      <c r="J38" s="111">
        <f t="shared" si="3"/>
        <v>438.46666276072187</v>
      </c>
      <c r="K38" s="112"/>
    </row>
    <row r="39" spans="1:11" x14ac:dyDescent="0.3">
      <c r="A39" s="5" t="s">
        <v>10</v>
      </c>
      <c r="B39" s="6"/>
      <c r="C39" s="6"/>
      <c r="D39" s="7" t="s">
        <v>57</v>
      </c>
      <c r="E39" t="s">
        <v>114</v>
      </c>
      <c r="F39">
        <v>3</v>
      </c>
      <c r="G39" t="s">
        <v>108</v>
      </c>
      <c r="H39" s="111">
        <f t="shared" si="1"/>
        <v>43.846666276072185</v>
      </c>
      <c r="I39" s="111">
        <f t="shared" si="0"/>
        <v>131.53999882821654</v>
      </c>
      <c r="J39" s="111">
        <f>SUM(I39)</f>
        <v>131.53999882821654</v>
      </c>
      <c r="K39" s="111">
        <f>SUM(J39)</f>
        <v>131.53999882821654</v>
      </c>
    </row>
    <row r="40" spans="1:11" x14ac:dyDescent="0.3">
      <c r="A40" s="5" t="s">
        <v>11</v>
      </c>
      <c r="B40" s="6"/>
      <c r="C40" s="6"/>
      <c r="D40" s="7" t="s">
        <v>58</v>
      </c>
      <c r="H40" s="111" t="str">
        <f t="shared" si="1"/>
        <v/>
      </c>
      <c r="I40" s="111" t="str">
        <f t="shared" si="0"/>
        <v/>
      </c>
      <c r="J40" s="111"/>
      <c r="K40" s="112">
        <f>SUM(J41:J50)</f>
        <v>4386.8987937884322</v>
      </c>
    </row>
    <row r="41" spans="1:11" x14ac:dyDescent="0.3">
      <c r="A41" s="5"/>
      <c r="B41" s="6" t="s">
        <v>7</v>
      </c>
      <c r="C41" s="6"/>
      <c r="D41" s="1" t="s">
        <v>59</v>
      </c>
      <c r="E41" t="s">
        <v>113</v>
      </c>
      <c r="F41">
        <v>4</v>
      </c>
      <c r="G41" t="s">
        <v>108</v>
      </c>
      <c r="H41" s="111">
        <f t="shared" si="1"/>
        <v>49.154057104913683</v>
      </c>
      <c r="I41" s="111">
        <f t="shared" si="0"/>
        <v>196.61622841965473</v>
      </c>
      <c r="J41" s="111">
        <f>I41</f>
        <v>196.61622841965473</v>
      </c>
      <c r="K41" s="112"/>
    </row>
    <row r="42" spans="1:11" x14ac:dyDescent="0.3">
      <c r="A42" s="5"/>
      <c r="B42" s="6" t="s">
        <v>13</v>
      </c>
      <c r="C42" s="6"/>
      <c r="D42" s="1" t="s">
        <v>60</v>
      </c>
      <c r="E42" t="s">
        <v>113</v>
      </c>
      <c r="F42">
        <v>3</v>
      </c>
      <c r="G42" t="s">
        <v>108</v>
      </c>
      <c r="H42" s="111">
        <f t="shared" si="1"/>
        <v>49.154057104913683</v>
      </c>
      <c r="I42" s="111">
        <f t="shared" si="0"/>
        <v>147.46217131474106</v>
      </c>
      <c r="J42" s="111">
        <f>I42</f>
        <v>147.46217131474106</v>
      </c>
      <c r="K42" s="112"/>
    </row>
    <row r="43" spans="1:11" x14ac:dyDescent="0.3">
      <c r="A43" s="5"/>
      <c r="B43" s="6" t="s">
        <v>14</v>
      </c>
      <c r="C43" s="6"/>
      <c r="D43" s="1" t="s">
        <v>61</v>
      </c>
      <c r="H43" s="111" t="str">
        <f t="shared" si="1"/>
        <v/>
      </c>
      <c r="I43" s="111" t="str">
        <f t="shared" si="0"/>
        <v/>
      </c>
      <c r="J43" s="111">
        <f>SUM(I44:I50)</f>
        <v>4042.8203940540366</v>
      </c>
      <c r="K43" s="112"/>
    </row>
    <row r="44" spans="1:11" x14ac:dyDescent="0.3">
      <c r="A44" s="5"/>
      <c r="B44" s="6"/>
      <c r="C44" s="6" t="s">
        <v>6</v>
      </c>
      <c r="D44" s="1" t="s">
        <v>62</v>
      </c>
      <c r="E44" t="s">
        <v>115</v>
      </c>
      <c r="F44">
        <v>22</v>
      </c>
      <c r="G44" t="s">
        <v>108</v>
      </c>
      <c r="H44" s="111">
        <f t="shared" si="1"/>
        <v>38.551814171883898</v>
      </c>
      <c r="I44" s="111">
        <f t="shared" si="0"/>
        <v>848.13991178144579</v>
      </c>
      <c r="J44" s="111"/>
      <c r="K44" s="112"/>
    </row>
    <row r="45" spans="1:11" ht="28.8" x14ac:dyDescent="0.3">
      <c r="A45" s="5"/>
      <c r="B45" s="6"/>
      <c r="C45" s="6" t="s">
        <v>8</v>
      </c>
      <c r="D45" s="1" t="s">
        <v>63</v>
      </c>
      <c r="E45" t="s">
        <v>115</v>
      </c>
      <c r="F45">
        <v>10</v>
      </c>
      <c r="G45" t="s">
        <v>108</v>
      </c>
      <c r="H45" s="111">
        <f t="shared" si="1"/>
        <v>38.551814171883898</v>
      </c>
      <c r="I45" s="111">
        <f t="shared" si="0"/>
        <v>385.51814171883899</v>
      </c>
      <c r="J45" s="111"/>
      <c r="K45" s="112"/>
    </row>
    <row r="46" spans="1:11" ht="28.8" x14ac:dyDescent="0.3">
      <c r="A46" s="5"/>
      <c r="B46" s="6"/>
      <c r="C46" s="6" t="s">
        <v>9</v>
      </c>
      <c r="D46" s="1" t="s">
        <v>64</v>
      </c>
      <c r="E46" t="s">
        <v>114</v>
      </c>
      <c r="F46">
        <v>25</v>
      </c>
      <c r="G46" t="s">
        <v>108</v>
      </c>
      <c r="H46" s="111">
        <f t="shared" si="1"/>
        <v>43.846666276072185</v>
      </c>
      <c r="I46" s="111">
        <f t="shared" si="0"/>
        <v>1096.1666569018046</v>
      </c>
      <c r="J46" s="111"/>
      <c r="K46" s="112"/>
    </row>
    <row r="47" spans="1:11" x14ac:dyDescent="0.3">
      <c r="A47" s="5"/>
      <c r="B47" s="6"/>
      <c r="C47" s="6" t="s">
        <v>10</v>
      </c>
      <c r="D47" s="1" t="s">
        <v>65</v>
      </c>
      <c r="E47" t="s">
        <v>115</v>
      </c>
      <c r="F47">
        <v>6</v>
      </c>
      <c r="G47" t="s">
        <v>108</v>
      </c>
      <c r="H47" s="111">
        <f t="shared" si="1"/>
        <v>38.551814171883898</v>
      </c>
      <c r="I47" s="111">
        <f t="shared" si="0"/>
        <v>231.31088503130337</v>
      </c>
      <c r="J47" s="111"/>
      <c r="K47" s="112"/>
    </row>
    <row r="48" spans="1:11" ht="28.8" x14ac:dyDescent="0.3">
      <c r="A48" s="5"/>
      <c r="B48" s="6"/>
      <c r="C48" s="6" t="s">
        <v>11</v>
      </c>
      <c r="D48" s="1" t="s">
        <v>66</v>
      </c>
      <c r="E48" t="s">
        <v>114</v>
      </c>
      <c r="F48">
        <v>15</v>
      </c>
      <c r="G48" t="s">
        <v>108</v>
      </c>
      <c r="H48" s="111">
        <f t="shared" si="1"/>
        <v>43.846666276072185</v>
      </c>
      <c r="I48" s="111">
        <f t="shared" si="0"/>
        <v>657.69999414108281</v>
      </c>
      <c r="J48" s="111"/>
      <c r="K48" s="112"/>
    </row>
    <row r="49" spans="1:11" x14ac:dyDescent="0.3">
      <c r="A49" s="5"/>
      <c r="B49" s="6"/>
      <c r="C49" s="6" t="s">
        <v>12</v>
      </c>
      <c r="D49" s="1" t="s">
        <v>67</v>
      </c>
      <c r="E49" t="s">
        <v>114</v>
      </c>
      <c r="F49">
        <v>10</v>
      </c>
      <c r="G49" t="s">
        <v>108</v>
      </c>
      <c r="H49" s="111">
        <f t="shared" si="1"/>
        <v>43.846666276072185</v>
      </c>
      <c r="I49" s="111">
        <f t="shared" si="0"/>
        <v>438.46666276072187</v>
      </c>
      <c r="J49" s="111"/>
      <c r="K49" s="112"/>
    </row>
    <row r="50" spans="1:11" x14ac:dyDescent="0.3">
      <c r="A50" s="5"/>
      <c r="B50" s="6"/>
      <c r="C50" s="6" t="s">
        <v>92</v>
      </c>
      <c r="D50" s="1" t="s">
        <v>68</v>
      </c>
      <c r="E50" t="s">
        <v>115</v>
      </c>
      <c r="F50">
        <v>10</v>
      </c>
      <c r="G50" t="s">
        <v>108</v>
      </c>
      <c r="H50" s="111">
        <f t="shared" si="1"/>
        <v>38.551814171883898</v>
      </c>
      <c r="I50" s="111">
        <f t="shared" si="0"/>
        <v>385.51814171883899</v>
      </c>
      <c r="J50" s="111"/>
      <c r="K50" s="112"/>
    </row>
    <row r="51" spans="1:11" x14ac:dyDescent="0.3">
      <c r="A51" s="5" t="s">
        <v>12</v>
      </c>
      <c r="B51" s="6"/>
      <c r="C51" s="6"/>
      <c r="D51" s="7" t="s">
        <v>69</v>
      </c>
      <c r="H51" s="111" t="str">
        <f t="shared" si="1"/>
        <v/>
      </c>
      <c r="I51" s="111" t="str">
        <f t="shared" si="0"/>
        <v/>
      </c>
      <c r="J51" s="111"/>
      <c r="K51" s="112">
        <f>SUM(J52:J60)</f>
        <v>1051.4886868492417</v>
      </c>
    </row>
    <row r="52" spans="1:11" x14ac:dyDescent="0.3">
      <c r="A52" s="5"/>
      <c r="B52" s="6" t="s">
        <v>7</v>
      </c>
      <c r="C52" s="6"/>
      <c r="D52" s="1" t="s">
        <v>70</v>
      </c>
      <c r="E52" t="s">
        <v>115</v>
      </c>
      <c r="F52">
        <v>4</v>
      </c>
      <c r="G52" t="s">
        <v>108</v>
      </c>
      <c r="H52" s="111">
        <f t="shared" si="1"/>
        <v>38.551814171883898</v>
      </c>
      <c r="I52" s="111">
        <f t="shared" si="0"/>
        <v>154.20725668753559</v>
      </c>
      <c r="J52" s="111">
        <f t="shared" ref="J52:J60" si="4">I52</f>
        <v>154.20725668753559</v>
      </c>
      <c r="K52" s="112"/>
    </row>
    <row r="53" spans="1:11" x14ac:dyDescent="0.3">
      <c r="A53" s="5"/>
      <c r="B53" s="6" t="s">
        <v>13</v>
      </c>
      <c r="C53" s="6"/>
      <c r="D53" s="1" t="s">
        <v>71</v>
      </c>
      <c r="E53" t="s">
        <v>115</v>
      </c>
      <c r="F53">
        <v>3</v>
      </c>
      <c r="G53" t="s">
        <v>108</v>
      </c>
      <c r="H53" s="111">
        <f t="shared" si="1"/>
        <v>38.551814171883898</v>
      </c>
      <c r="I53" s="111">
        <f t="shared" si="0"/>
        <v>115.65544251565169</v>
      </c>
      <c r="J53" s="111">
        <f t="shared" si="4"/>
        <v>115.65544251565169</v>
      </c>
      <c r="K53" s="112"/>
    </row>
    <row r="54" spans="1:11" x14ac:dyDescent="0.3">
      <c r="A54" s="5"/>
      <c r="B54" s="6" t="s">
        <v>14</v>
      </c>
      <c r="C54" s="6"/>
      <c r="D54" s="1" t="s">
        <v>72</v>
      </c>
      <c r="E54" t="s">
        <v>115</v>
      </c>
      <c r="F54">
        <v>5</v>
      </c>
      <c r="G54" t="s">
        <v>108</v>
      </c>
      <c r="H54" s="111">
        <f t="shared" si="1"/>
        <v>38.551814171883898</v>
      </c>
      <c r="I54" s="111">
        <f t="shared" si="0"/>
        <v>192.7590708594195</v>
      </c>
      <c r="J54" s="111">
        <f t="shared" si="4"/>
        <v>192.7590708594195</v>
      </c>
      <c r="K54" s="112"/>
    </row>
    <row r="55" spans="1:11" x14ac:dyDescent="0.3">
      <c r="A55" s="5"/>
      <c r="B55" s="6" t="s">
        <v>99</v>
      </c>
      <c r="C55" s="6"/>
      <c r="D55" s="1" t="s">
        <v>73</v>
      </c>
      <c r="E55" t="s">
        <v>115</v>
      </c>
      <c r="F55">
        <v>3</v>
      </c>
      <c r="G55" t="s">
        <v>108</v>
      </c>
      <c r="H55" s="111">
        <f t="shared" si="1"/>
        <v>38.551814171883898</v>
      </c>
      <c r="I55" s="111">
        <f t="shared" si="0"/>
        <v>115.65544251565169</v>
      </c>
      <c r="J55" s="111">
        <f t="shared" si="4"/>
        <v>115.65544251565169</v>
      </c>
      <c r="K55" s="112"/>
    </row>
    <row r="56" spans="1:11" ht="28.8" x14ac:dyDescent="0.3">
      <c r="A56" s="5"/>
      <c r="B56" s="6" t="s">
        <v>100</v>
      </c>
      <c r="C56" s="6"/>
      <c r="D56" s="1" t="s">
        <v>74</v>
      </c>
      <c r="E56" t="s">
        <v>115</v>
      </c>
      <c r="F56">
        <v>3</v>
      </c>
      <c r="G56" t="s">
        <v>108</v>
      </c>
      <c r="H56" s="111">
        <f t="shared" si="1"/>
        <v>38.551814171883898</v>
      </c>
      <c r="I56" s="111">
        <f t="shared" si="0"/>
        <v>115.65544251565169</v>
      </c>
      <c r="J56" s="111">
        <f t="shared" si="4"/>
        <v>115.65544251565169</v>
      </c>
      <c r="K56" s="112"/>
    </row>
    <row r="57" spans="1:11" x14ac:dyDescent="0.3">
      <c r="A57" s="5"/>
      <c r="B57" s="6" t="s">
        <v>101</v>
      </c>
      <c r="C57" s="6"/>
      <c r="D57" s="1" t="s">
        <v>75</v>
      </c>
      <c r="E57" t="s">
        <v>115</v>
      </c>
      <c r="F57">
        <v>2</v>
      </c>
      <c r="G57" t="s">
        <v>108</v>
      </c>
      <c r="H57" s="111">
        <f t="shared" si="1"/>
        <v>38.551814171883898</v>
      </c>
      <c r="I57" s="111">
        <f t="shared" si="0"/>
        <v>77.103628343767795</v>
      </c>
      <c r="J57" s="111">
        <f t="shared" si="4"/>
        <v>77.103628343767795</v>
      </c>
      <c r="K57" s="112"/>
    </row>
    <row r="58" spans="1:11" x14ac:dyDescent="0.3">
      <c r="A58" s="5"/>
      <c r="B58" s="6" t="s">
        <v>102</v>
      </c>
      <c r="C58" s="6"/>
      <c r="D58" s="1" t="s">
        <v>76</v>
      </c>
      <c r="E58" t="s">
        <v>115</v>
      </c>
      <c r="F58">
        <v>3</v>
      </c>
      <c r="G58" t="s">
        <v>108</v>
      </c>
      <c r="H58" s="111">
        <f t="shared" si="1"/>
        <v>38.551814171883898</v>
      </c>
      <c r="I58" s="111">
        <f t="shared" si="0"/>
        <v>115.65544251565169</v>
      </c>
      <c r="J58" s="111">
        <f t="shared" si="4"/>
        <v>115.65544251565169</v>
      </c>
      <c r="K58" s="112"/>
    </row>
    <row r="59" spans="1:11" x14ac:dyDescent="0.3">
      <c r="A59" s="5"/>
      <c r="B59" s="6" t="s">
        <v>103</v>
      </c>
      <c r="C59" s="6"/>
      <c r="D59" s="1" t="s">
        <v>77</v>
      </c>
      <c r="E59" t="s">
        <v>115</v>
      </c>
      <c r="F59">
        <v>2</v>
      </c>
      <c r="G59" t="s">
        <v>108</v>
      </c>
      <c r="H59" s="111">
        <f t="shared" si="1"/>
        <v>38.551814171883898</v>
      </c>
      <c r="I59" s="111">
        <f t="shared" si="0"/>
        <v>77.103628343767795</v>
      </c>
      <c r="J59" s="111">
        <f t="shared" si="4"/>
        <v>77.103628343767795</v>
      </c>
      <c r="K59" s="112"/>
    </row>
    <row r="60" spans="1:11" x14ac:dyDescent="0.3">
      <c r="A60" s="5"/>
      <c r="B60" s="6" t="s">
        <v>104</v>
      </c>
      <c r="C60" s="6"/>
      <c r="D60" s="1" t="s">
        <v>78</v>
      </c>
      <c r="E60" t="s">
        <v>114</v>
      </c>
      <c r="F60">
        <v>2</v>
      </c>
      <c r="G60" t="s">
        <v>108</v>
      </c>
      <c r="H60" s="111">
        <f t="shared" si="1"/>
        <v>43.846666276072185</v>
      </c>
      <c r="I60" s="111">
        <f t="shared" si="0"/>
        <v>87.693332552144369</v>
      </c>
      <c r="J60" s="111">
        <f t="shared" si="4"/>
        <v>87.693332552144369</v>
      </c>
      <c r="K60" s="112"/>
    </row>
    <row r="61" spans="1:11" x14ac:dyDescent="0.3">
      <c r="A61" s="5" t="s">
        <v>92</v>
      </c>
      <c r="B61" s="6"/>
      <c r="C61" s="6"/>
      <c r="D61" s="7" t="s">
        <v>79</v>
      </c>
      <c r="H61" s="111" t="str">
        <f t="shared" si="1"/>
        <v/>
      </c>
      <c r="I61" s="111" t="str">
        <f t="shared" si="0"/>
        <v/>
      </c>
      <c r="J61" s="111"/>
      <c r="K61" s="112">
        <f>SUM(J62:J73)</f>
        <v>1382.5443437881208</v>
      </c>
    </row>
    <row r="62" spans="1:11" ht="28.8" x14ac:dyDescent="0.3">
      <c r="A62" s="5"/>
      <c r="B62" s="6" t="s">
        <v>7</v>
      </c>
      <c r="C62" s="6"/>
      <c r="D62" s="1" t="s">
        <v>80</v>
      </c>
      <c r="E62" t="s">
        <v>109</v>
      </c>
      <c r="F62">
        <v>1</v>
      </c>
      <c r="G62" t="s">
        <v>108</v>
      </c>
      <c r="H62" s="111">
        <f t="shared" si="1"/>
        <v>49.782125344774748</v>
      </c>
      <c r="I62" s="111">
        <f t="shared" si="0"/>
        <v>49.782125344774748</v>
      </c>
      <c r="J62" s="111">
        <f t="shared" ref="J62:J73" si="5">I62</f>
        <v>49.782125344774748</v>
      </c>
      <c r="K62" s="112"/>
    </row>
    <row r="63" spans="1:11" x14ac:dyDescent="0.3">
      <c r="A63" s="5"/>
      <c r="B63" s="6" t="s">
        <v>13</v>
      </c>
      <c r="C63" s="6"/>
      <c r="D63" s="1" t="s">
        <v>81</v>
      </c>
      <c r="E63" t="s">
        <v>109</v>
      </c>
      <c r="F63">
        <v>1</v>
      </c>
      <c r="G63" t="s">
        <v>108</v>
      </c>
      <c r="H63" s="111">
        <f t="shared" si="1"/>
        <v>49.782125344774748</v>
      </c>
      <c r="I63" s="111">
        <f t="shared" si="0"/>
        <v>49.782125344774748</v>
      </c>
      <c r="J63" s="111">
        <f t="shared" si="5"/>
        <v>49.782125344774748</v>
      </c>
      <c r="K63" s="112"/>
    </row>
    <row r="64" spans="1:11" x14ac:dyDescent="0.3">
      <c r="A64" s="5"/>
      <c r="B64" s="6" t="s">
        <v>14</v>
      </c>
      <c r="C64" s="6"/>
      <c r="D64" s="1" t="s">
        <v>82</v>
      </c>
      <c r="E64" t="s">
        <v>112</v>
      </c>
      <c r="F64">
        <v>1</v>
      </c>
      <c r="G64" t="s">
        <v>108</v>
      </c>
      <c r="H64" s="111">
        <f t="shared" si="1"/>
        <v>45.220459339114129</v>
      </c>
      <c r="I64" s="111">
        <f t="shared" si="0"/>
        <v>45.220459339114129</v>
      </c>
      <c r="J64" s="111">
        <f t="shared" si="5"/>
        <v>45.220459339114129</v>
      </c>
      <c r="K64" s="112"/>
    </row>
    <row r="65" spans="1:11" ht="28.8" x14ac:dyDescent="0.3">
      <c r="A65" s="5"/>
      <c r="B65" s="6" t="s">
        <v>99</v>
      </c>
      <c r="C65" s="6"/>
      <c r="D65" s="1" t="s">
        <v>83</v>
      </c>
      <c r="E65" t="s">
        <v>112</v>
      </c>
      <c r="F65">
        <v>2</v>
      </c>
      <c r="G65" t="s">
        <v>108</v>
      </c>
      <c r="H65" s="111">
        <f t="shared" si="1"/>
        <v>45.220459339114129</v>
      </c>
      <c r="I65" s="111">
        <f t="shared" si="0"/>
        <v>90.440918678228257</v>
      </c>
      <c r="J65" s="111">
        <f t="shared" si="5"/>
        <v>90.440918678228257</v>
      </c>
      <c r="K65" s="112"/>
    </row>
    <row r="66" spans="1:11" ht="28.8" x14ac:dyDescent="0.3">
      <c r="A66" s="5"/>
      <c r="B66" s="6" t="s">
        <v>100</v>
      </c>
      <c r="C66" s="6"/>
      <c r="D66" s="1" t="s">
        <v>84</v>
      </c>
      <c r="E66" t="s">
        <v>109</v>
      </c>
      <c r="F66">
        <v>2</v>
      </c>
      <c r="G66" t="s">
        <v>108</v>
      </c>
      <c r="H66" s="111">
        <f t="shared" si="1"/>
        <v>49.782125344774748</v>
      </c>
      <c r="I66" s="111">
        <f t="shared" si="0"/>
        <v>99.564250689549496</v>
      </c>
      <c r="J66" s="111">
        <f t="shared" si="5"/>
        <v>99.564250689549496</v>
      </c>
      <c r="K66" s="112"/>
    </row>
    <row r="67" spans="1:11" x14ac:dyDescent="0.3">
      <c r="A67" s="5"/>
      <c r="B67" s="6" t="s">
        <v>101</v>
      </c>
      <c r="C67" s="6"/>
      <c r="D67" s="1" t="s">
        <v>85</v>
      </c>
      <c r="E67" t="s">
        <v>111</v>
      </c>
      <c r="F67">
        <v>3</v>
      </c>
      <c r="G67" t="s">
        <v>108</v>
      </c>
      <c r="H67" s="111">
        <f t="shared" si="1"/>
        <v>42.159269173306768</v>
      </c>
      <c r="I67" s="111">
        <f t="shared" si="0"/>
        <v>126.4778075199203</v>
      </c>
      <c r="J67" s="111">
        <f t="shared" si="5"/>
        <v>126.4778075199203</v>
      </c>
      <c r="K67" s="112"/>
    </row>
    <row r="68" spans="1:11" x14ac:dyDescent="0.3">
      <c r="A68" s="5"/>
      <c r="B68" s="6" t="s">
        <v>102</v>
      </c>
      <c r="C68" s="6"/>
      <c r="D68" s="1" t="s">
        <v>86</v>
      </c>
      <c r="E68" t="s">
        <v>113</v>
      </c>
      <c r="F68">
        <v>5</v>
      </c>
      <c r="G68" t="s">
        <v>108</v>
      </c>
      <c r="H68" s="111">
        <f t="shared" si="1"/>
        <v>49.154057104913683</v>
      </c>
      <c r="I68" s="111">
        <f t="shared" ref="I68:I73" si="6">IFERROR(H68*F68,"")</f>
        <v>245.77028552456841</v>
      </c>
      <c r="J68" s="111">
        <f t="shared" si="5"/>
        <v>245.77028552456841</v>
      </c>
      <c r="K68" s="112"/>
    </row>
    <row r="69" spans="1:11" x14ac:dyDescent="0.3">
      <c r="A69" s="5"/>
      <c r="B69" s="6" t="s">
        <v>103</v>
      </c>
      <c r="C69" s="6"/>
      <c r="D69" s="1" t="s">
        <v>87</v>
      </c>
      <c r="E69" t="s">
        <v>114</v>
      </c>
      <c r="F69">
        <v>5</v>
      </c>
      <c r="G69" t="s">
        <v>108</v>
      </c>
      <c r="H69" s="111">
        <f t="shared" ref="H69:H73" si="7">_xlfn.XLOOKUP(E69,$D$77:$D$82,$E$77:$E$82,"")</f>
        <v>43.846666276072185</v>
      </c>
      <c r="I69" s="111">
        <f t="shared" si="6"/>
        <v>219.23333138036094</v>
      </c>
      <c r="J69" s="111">
        <f t="shared" si="5"/>
        <v>219.23333138036094</v>
      </c>
      <c r="K69" s="112"/>
    </row>
    <row r="70" spans="1:11" x14ac:dyDescent="0.3">
      <c r="A70" s="5"/>
      <c r="B70" s="6" t="s">
        <v>104</v>
      </c>
      <c r="C70" s="6"/>
      <c r="D70" s="1" t="s">
        <v>88</v>
      </c>
      <c r="E70" t="s">
        <v>114</v>
      </c>
      <c r="F70">
        <v>2</v>
      </c>
      <c r="G70" t="s">
        <v>108</v>
      </c>
      <c r="H70" s="111">
        <f t="shared" si="7"/>
        <v>43.846666276072185</v>
      </c>
      <c r="I70" s="111">
        <f t="shared" si="6"/>
        <v>87.693332552144369</v>
      </c>
      <c r="J70" s="111">
        <f t="shared" si="5"/>
        <v>87.693332552144369</v>
      </c>
      <c r="K70" s="112"/>
    </row>
    <row r="71" spans="1:11" x14ac:dyDescent="0.3">
      <c r="A71" s="5"/>
      <c r="B71" s="6" t="s">
        <v>105</v>
      </c>
      <c r="C71" s="6"/>
      <c r="D71" s="1" t="s">
        <v>89</v>
      </c>
      <c r="E71" t="s">
        <v>114</v>
      </c>
      <c r="F71">
        <v>5</v>
      </c>
      <c r="G71" t="s">
        <v>108</v>
      </c>
      <c r="H71" s="111">
        <f t="shared" si="7"/>
        <v>43.846666276072185</v>
      </c>
      <c r="I71" s="111">
        <f t="shared" si="6"/>
        <v>219.23333138036094</v>
      </c>
      <c r="J71" s="111">
        <f t="shared" si="5"/>
        <v>219.23333138036094</v>
      </c>
      <c r="K71" s="112"/>
    </row>
    <row r="72" spans="1:11" x14ac:dyDescent="0.3">
      <c r="A72" s="5"/>
      <c r="B72" s="6" t="s">
        <v>106</v>
      </c>
      <c r="C72" s="6"/>
      <c r="D72" s="1" t="s">
        <v>90</v>
      </c>
      <c r="E72" t="s">
        <v>109</v>
      </c>
      <c r="F72">
        <v>2</v>
      </c>
      <c r="G72" t="s">
        <v>108</v>
      </c>
      <c r="H72" s="111">
        <f t="shared" si="7"/>
        <v>49.782125344774748</v>
      </c>
      <c r="I72" s="111">
        <f t="shared" si="6"/>
        <v>99.564250689549496</v>
      </c>
      <c r="J72" s="111">
        <f t="shared" si="5"/>
        <v>99.564250689549496</v>
      </c>
      <c r="K72" s="112"/>
    </row>
    <row r="73" spans="1:11" x14ac:dyDescent="0.3">
      <c r="A73" s="8"/>
      <c r="B73" s="9" t="s">
        <v>107</v>
      </c>
      <c r="C73" s="9"/>
      <c r="D73" s="10" t="s">
        <v>91</v>
      </c>
      <c r="E73" s="11" t="s">
        <v>109</v>
      </c>
      <c r="F73" s="11">
        <v>1</v>
      </c>
      <c r="G73" s="11" t="s">
        <v>108</v>
      </c>
      <c r="H73" s="111">
        <f t="shared" si="7"/>
        <v>49.782125344774748</v>
      </c>
      <c r="I73" s="111">
        <f t="shared" si="6"/>
        <v>49.782125344774748</v>
      </c>
      <c r="J73" s="111">
        <f t="shared" si="5"/>
        <v>49.782125344774748</v>
      </c>
      <c r="K73" s="113"/>
    </row>
    <row r="74" spans="1:11" x14ac:dyDescent="0.3">
      <c r="A74" s="119" t="s">
        <v>4</v>
      </c>
      <c r="B74" s="120"/>
      <c r="C74" s="120"/>
      <c r="D74" s="120"/>
      <c r="E74" s="120"/>
      <c r="F74" s="120"/>
      <c r="G74" s="120"/>
      <c r="H74" s="120"/>
      <c r="I74" s="120"/>
      <c r="J74" s="120"/>
      <c r="K74" s="114">
        <f>SUM(K3:K73)</f>
        <v>13026.517352669423</v>
      </c>
    </row>
    <row r="75" spans="1:11" x14ac:dyDescent="0.3">
      <c r="J75" t="s">
        <v>196</v>
      </c>
      <c r="K75" s="2">
        <v>0.25</v>
      </c>
    </row>
    <row r="76" spans="1:11" x14ac:dyDescent="0.3">
      <c r="D76" s="7" t="s">
        <v>110</v>
      </c>
      <c r="E76" t="s">
        <v>195</v>
      </c>
      <c r="J76" t="s">
        <v>197</v>
      </c>
      <c r="K76" s="111">
        <f>K74*(1+K75)</f>
        <v>16283.14669083678</v>
      </c>
    </row>
    <row r="77" spans="1:11" x14ac:dyDescent="0.3">
      <c r="D77" t="s">
        <v>109</v>
      </c>
      <c r="E77" s="110">
        <f>'Company definition'!F82</f>
        <v>49.782125344774748</v>
      </c>
    </row>
    <row r="78" spans="1:11" x14ac:dyDescent="0.3">
      <c r="D78" t="s">
        <v>112</v>
      </c>
      <c r="E78" s="110">
        <f>'Company definition'!F85</f>
        <v>45.220459339114129</v>
      </c>
    </row>
    <row r="79" spans="1:11" x14ac:dyDescent="0.3">
      <c r="D79" t="s">
        <v>111</v>
      </c>
      <c r="E79" s="110">
        <f>'Company definition'!F84</f>
        <v>42.159269173306768</v>
      </c>
    </row>
    <row r="80" spans="1:11" x14ac:dyDescent="0.3">
      <c r="D80" t="s">
        <v>113</v>
      </c>
      <c r="E80" s="110">
        <f>'Company definition'!F86</f>
        <v>49.154057104913683</v>
      </c>
    </row>
    <row r="81" spans="4:5" x14ac:dyDescent="0.3">
      <c r="D81" t="s">
        <v>114</v>
      </c>
      <c r="E81" s="110">
        <f>'Company definition'!F87</f>
        <v>43.846666276072185</v>
      </c>
    </row>
    <row r="82" spans="4:5" x14ac:dyDescent="0.3">
      <c r="D82" t="s">
        <v>115</v>
      </c>
      <c r="E82" s="110">
        <f>'Company definition'!F88</f>
        <v>38.551814171883898</v>
      </c>
    </row>
  </sheetData>
  <mergeCells count="2">
    <mergeCell ref="A1:K1"/>
    <mergeCell ref="A74:J74"/>
  </mergeCells>
  <phoneticPr fontId="4" type="noConversion"/>
  <dataValidations count="1">
    <dataValidation type="list" allowBlank="1" showInputMessage="1" showErrorMessage="1" sqref="E3:E73" xr:uid="{2FF9A132-8776-4FE0-B050-ADA1CD0962E0}">
      <formula1>$D$77:$D$82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C6334-ABDB-402C-9F6E-AACD57B8B147}">
  <dimension ref="A1:N82"/>
  <sheetViews>
    <sheetView workbookViewId="0">
      <selection activeCell="O9" sqref="O9"/>
    </sheetView>
  </sheetViews>
  <sheetFormatPr defaultRowHeight="14.4" x14ac:dyDescent="0.3"/>
  <cols>
    <col min="1" max="1" width="3" bestFit="1" customWidth="1"/>
    <col min="2" max="2" width="4" bestFit="1" customWidth="1"/>
    <col min="3" max="3" width="3" bestFit="1" customWidth="1"/>
    <col min="4" max="4" width="38.5546875" customWidth="1"/>
    <col min="5" max="5" width="23.77734375" bestFit="1" customWidth="1"/>
    <col min="9" max="9" width="9.44140625" bestFit="1" customWidth="1"/>
    <col min="10" max="10" width="14.44140625" bestFit="1" customWidth="1"/>
    <col min="11" max="11" width="10.44140625" bestFit="1" customWidth="1"/>
    <col min="13" max="13" width="21.88671875" bestFit="1" customWidth="1"/>
    <col min="14" max="14" width="10.44140625" bestFit="1" customWidth="1"/>
  </cols>
  <sheetData>
    <row r="1" spans="1:14" ht="15" thickBot="1" x14ac:dyDescent="0.35">
      <c r="A1" s="116" t="s">
        <v>20</v>
      </c>
      <c r="B1" s="117"/>
      <c r="C1" s="117"/>
      <c r="D1" s="117"/>
      <c r="E1" s="117"/>
      <c r="F1" s="117"/>
      <c r="G1" s="117"/>
      <c r="H1" s="117"/>
      <c r="I1" s="117"/>
      <c r="J1" s="117"/>
      <c r="K1" s="118"/>
    </row>
    <row r="2" spans="1:14" x14ac:dyDescent="0.3">
      <c r="A2" s="12" t="s">
        <v>0</v>
      </c>
      <c r="B2" s="13" t="s">
        <v>1</v>
      </c>
      <c r="C2" s="13" t="s">
        <v>2</v>
      </c>
      <c r="D2" s="13" t="s">
        <v>15</v>
      </c>
      <c r="E2" s="13" t="s">
        <v>19</v>
      </c>
      <c r="F2" s="13" t="s">
        <v>16</v>
      </c>
      <c r="G2" s="13" t="s">
        <v>17</v>
      </c>
      <c r="H2" s="13" t="s">
        <v>18</v>
      </c>
      <c r="I2" s="13" t="s">
        <v>3</v>
      </c>
      <c r="J2" s="13" t="s">
        <v>5</v>
      </c>
      <c r="K2" s="14" t="s">
        <v>4</v>
      </c>
      <c r="M2" t="s">
        <v>198</v>
      </c>
      <c r="N2">
        <f>Costs!K76</f>
        <v>16283.14669083678</v>
      </c>
    </row>
    <row r="3" spans="1:14" x14ac:dyDescent="0.3">
      <c r="A3" s="5" t="s">
        <v>6</v>
      </c>
      <c r="B3" s="6"/>
      <c r="C3" s="6"/>
      <c r="D3" s="7" t="s">
        <v>21</v>
      </c>
      <c r="H3" s="111" t="str">
        <f>_xlfn.XLOOKUP(E3,$D$77:$D$82,$E$77:$E$82,"")</f>
        <v/>
      </c>
      <c r="I3" s="111" t="str">
        <f>IFERROR(H3*F3,"")</f>
        <v/>
      </c>
      <c r="K3" s="115">
        <f>SUM(J4:J19)</f>
        <v>1194.7710082745937</v>
      </c>
      <c r="M3" t="s">
        <v>199</v>
      </c>
      <c r="N3" s="111">
        <f>K76</f>
        <v>16729.515715661983</v>
      </c>
    </row>
    <row r="4" spans="1:14" x14ac:dyDescent="0.3">
      <c r="A4" s="5"/>
      <c r="B4" s="6" t="s">
        <v>7</v>
      </c>
      <c r="C4" s="6"/>
      <c r="D4" s="1" t="s">
        <v>22</v>
      </c>
      <c r="E4" t="s">
        <v>109</v>
      </c>
      <c r="F4">
        <v>2</v>
      </c>
      <c r="G4" t="s">
        <v>108</v>
      </c>
      <c r="H4" s="111">
        <f>_xlfn.XLOOKUP(E4,$D$77:$D$82,$E$77:$E$82,"")</f>
        <v>49.782125344774748</v>
      </c>
      <c r="I4" s="111">
        <f t="shared" ref="I4:I67" si="0">IFERROR(H4*F4,"")</f>
        <v>99.564250689549496</v>
      </c>
      <c r="J4" s="111">
        <f>I4</f>
        <v>99.564250689549496</v>
      </c>
      <c r="K4" s="112"/>
      <c r="M4" t="s">
        <v>200</v>
      </c>
      <c r="N4" s="111">
        <f>N3-N2</f>
        <v>446.36902482520236</v>
      </c>
    </row>
    <row r="5" spans="1:14" x14ac:dyDescent="0.3">
      <c r="A5" s="5"/>
      <c r="B5" s="6" t="s">
        <v>13</v>
      </c>
      <c r="C5" s="6"/>
      <c r="D5" s="1" t="s">
        <v>23</v>
      </c>
      <c r="E5" t="s">
        <v>109</v>
      </c>
      <c r="F5">
        <v>2</v>
      </c>
      <c r="G5" t="s">
        <v>108</v>
      </c>
      <c r="H5" s="111">
        <f t="shared" ref="H5:H68" si="1">_xlfn.XLOOKUP(E5,$D$77:$D$82,$E$77:$E$82,"")</f>
        <v>49.782125344774748</v>
      </c>
      <c r="I5" s="111">
        <f t="shared" si="0"/>
        <v>99.564250689549496</v>
      </c>
      <c r="J5" s="111">
        <f>I5</f>
        <v>99.564250689549496</v>
      </c>
      <c r="K5" s="112"/>
    </row>
    <row r="6" spans="1:14" x14ac:dyDescent="0.3">
      <c r="A6" s="5"/>
      <c r="B6" s="6" t="s">
        <v>14</v>
      </c>
      <c r="C6" s="6"/>
      <c r="D6" s="1" t="s">
        <v>24</v>
      </c>
      <c r="H6" s="111" t="str">
        <f t="shared" si="1"/>
        <v/>
      </c>
      <c r="I6" s="111" t="str">
        <f t="shared" si="0"/>
        <v/>
      </c>
      <c r="J6" s="111">
        <f>SUM(I7:I19)</f>
        <v>995.64250689549476</v>
      </c>
      <c r="K6" s="112"/>
    </row>
    <row r="7" spans="1:14" x14ac:dyDescent="0.3">
      <c r="A7" s="5"/>
      <c r="B7" s="6"/>
      <c r="C7" s="6" t="s">
        <v>6</v>
      </c>
      <c r="D7" s="1" t="s">
        <v>25</v>
      </c>
      <c r="E7" t="s">
        <v>109</v>
      </c>
      <c r="F7">
        <v>1</v>
      </c>
      <c r="G7" t="s">
        <v>108</v>
      </c>
      <c r="H7" s="111">
        <f t="shared" si="1"/>
        <v>49.782125344774748</v>
      </c>
      <c r="I7" s="111">
        <f t="shared" si="0"/>
        <v>49.782125344774748</v>
      </c>
      <c r="J7" s="111"/>
      <c r="K7" s="112"/>
    </row>
    <row r="8" spans="1:14" x14ac:dyDescent="0.3">
      <c r="A8" s="5"/>
      <c r="B8" s="6"/>
      <c r="C8" s="6" t="s">
        <v>8</v>
      </c>
      <c r="D8" s="1" t="s">
        <v>26</v>
      </c>
      <c r="E8" t="s">
        <v>109</v>
      </c>
      <c r="F8">
        <v>2</v>
      </c>
      <c r="G8" t="s">
        <v>108</v>
      </c>
      <c r="H8" s="111">
        <f t="shared" si="1"/>
        <v>49.782125344774748</v>
      </c>
      <c r="I8" s="111">
        <f t="shared" si="0"/>
        <v>99.564250689549496</v>
      </c>
      <c r="J8" s="111"/>
      <c r="K8" s="112"/>
    </row>
    <row r="9" spans="1:14" x14ac:dyDescent="0.3">
      <c r="A9" s="5"/>
      <c r="B9" s="6"/>
      <c r="C9" s="6" t="s">
        <v>9</v>
      </c>
      <c r="D9" s="1" t="s">
        <v>27</v>
      </c>
      <c r="E9" t="s">
        <v>109</v>
      </c>
      <c r="F9">
        <v>1</v>
      </c>
      <c r="G9" t="s">
        <v>108</v>
      </c>
      <c r="H9" s="111">
        <f t="shared" si="1"/>
        <v>49.782125344774748</v>
      </c>
      <c r="I9" s="111">
        <f t="shared" si="0"/>
        <v>49.782125344774748</v>
      </c>
      <c r="J9" s="111"/>
      <c r="K9" s="112"/>
    </row>
    <row r="10" spans="1:14" x14ac:dyDescent="0.3">
      <c r="A10" s="5"/>
      <c r="B10" s="6"/>
      <c r="C10" s="6" t="s">
        <v>10</v>
      </c>
      <c r="D10" s="1" t="s">
        <v>28</v>
      </c>
      <c r="E10" t="s">
        <v>109</v>
      </c>
      <c r="F10">
        <v>2</v>
      </c>
      <c r="G10" t="s">
        <v>108</v>
      </c>
      <c r="H10" s="111">
        <f t="shared" si="1"/>
        <v>49.782125344774748</v>
      </c>
      <c r="I10" s="111">
        <f t="shared" si="0"/>
        <v>99.564250689549496</v>
      </c>
      <c r="J10" s="111"/>
      <c r="K10" s="112"/>
    </row>
    <row r="11" spans="1:14" x14ac:dyDescent="0.3">
      <c r="A11" s="5"/>
      <c r="B11" s="6"/>
      <c r="C11" s="6" t="s">
        <v>11</v>
      </c>
      <c r="D11" s="1" t="s">
        <v>29</v>
      </c>
      <c r="E11" t="s">
        <v>109</v>
      </c>
      <c r="F11">
        <v>1</v>
      </c>
      <c r="G11" t="s">
        <v>108</v>
      </c>
      <c r="H11" s="111">
        <f t="shared" si="1"/>
        <v>49.782125344774748</v>
      </c>
      <c r="I11" s="111">
        <f t="shared" si="0"/>
        <v>49.782125344774748</v>
      </c>
      <c r="J11" s="111"/>
      <c r="K11" s="112"/>
    </row>
    <row r="12" spans="1:14" x14ac:dyDescent="0.3">
      <c r="A12" s="5"/>
      <c r="B12" s="6"/>
      <c r="C12" s="6" t="s">
        <v>12</v>
      </c>
      <c r="D12" s="1" t="s">
        <v>30</v>
      </c>
      <c r="E12" t="s">
        <v>109</v>
      </c>
      <c r="F12">
        <v>1</v>
      </c>
      <c r="G12" t="s">
        <v>108</v>
      </c>
      <c r="H12" s="111">
        <f t="shared" si="1"/>
        <v>49.782125344774748</v>
      </c>
      <c r="I12" s="111">
        <f t="shared" si="0"/>
        <v>49.782125344774748</v>
      </c>
      <c r="J12" s="111"/>
      <c r="K12" s="112"/>
    </row>
    <row r="13" spans="1:14" x14ac:dyDescent="0.3">
      <c r="A13" s="5"/>
      <c r="B13" s="6"/>
      <c r="C13" s="6" t="s">
        <v>92</v>
      </c>
      <c r="D13" s="1" t="s">
        <v>31</v>
      </c>
      <c r="E13" t="s">
        <v>109</v>
      </c>
      <c r="F13">
        <v>2</v>
      </c>
      <c r="G13" t="s">
        <v>108</v>
      </c>
      <c r="H13" s="111">
        <f t="shared" si="1"/>
        <v>49.782125344774748</v>
      </c>
      <c r="I13" s="111">
        <f t="shared" si="0"/>
        <v>99.564250689549496</v>
      </c>
      <c r="J13" s="111"/>
      <c r="K13" s="112"/>
    </row>
    <row r="14" spans="1:14" x14ac:dyDescent="0.3">
      <c r="A14" s="5"/>
      <c r="B14" s="6"/>
      <c r="C14" s="6" t="s">
        <v>93</v>
      </c>
      <c r="D14" s="1" t="s">
        <v>32</v>
      </c>
      <c r="E14" t="s">
        <v>109</v>
      </c>
      <c r="F14">
        <v>2</v>
      </c>
      <c r="G14" t="s">
        <v>108</v>
      </c>
      <c r="H14" s="111">
        <f t="shared" si="1"/>
        <v>49.782125344774748</v>
      </c>
      <c r="I14" s="111">
        <f t="shared" si="0"/>
        <v>99.564250689549496</v>
      </c>
      <c r="J14" s="111"/>
      <c r="K14" s="112"/>
    </row>
    <row r="15" spans="1:14" x14ac:dyDescent="0.3">
      <c r="A15" s="5"/>
      <c r="B15" s="6"/>
      <c r="C15" s="6" t="s">
        <v>94</v>
      </c>
      <c r="D15" s="1" t="s">
        <v>33</v>
      </c>
      <c r="E15" t="s">
        <v>109</v>
      </c>
      <c r="F15">
        <v>2</v>
      </c>
      <c r="G15" t="s">
        <v>108</v>
      </c>
      <c r="H15" s="111">
        <f t="shared" si="1"/>
        <v>49.782125344774748</v>
      </c>
      <c r="I15" s="111">
        <f t="shared" si="0"/>
        <v>99.564250689549496</v>
      </c>
      <c r="J15" s="111"/>
      <c r="K15" s="112"/>
    </row>
    <row r="16" spans="1:14" x14ac:dyDescent="0.3">
      <c r="A16" s="5"/>
      <c r="B16" s="6"/>
      <c r="C16" s="6" t="s">
        <v>95</v>
      </c>
      <c r="D16" s="1" t="s">
        <v>34</v>
      </c>
      <c r="E16" t="s">
        <v>109</v>
      </c>
      <c r="F16">
        <v>2</v>
      </c>
      <c r="G16" t="s">
        <v>108</v>
      </c>
      <c r="H16" s="111">
        <f t="shared" si="1"/>
        <v>49.782125344774748</v>
      </c>
      <c r="I16" s="111">
        <f t="shared" si="0"/>
        <v>99.564250689549496</v>
      </c>
      <c r="J16" s="111"/>
      <c r="K16" s="112"/>
    </row>
    <row r="17" spans="1:11" x14ac:dyDescent="0.3">
      <c r="A17" s="5"/>
      <c r="B17" s="6"/>
      <c r="C17" s="6" t="s">
        <v>96</v>
      </c>
      <c r="D17" s="1" t="s">
        <v>35</v>
      </c>
      <c r="E17" t="s">
        <v>109</v>
      </c>
      <c r="F17">
        <v>1</v>
      </c>
      <c r="G17" t="s">
        <v>108</v>
      </c>
      <c r="H17" s="111">
        <f t="shared" si="1"/>
        <v>49.782125344774748</v>
      </c>
      <c r="I17" s="111">
        <f t="shared" si="0"/>
        <v>49.782125344774748</v>
      </c>
      <c r="J17" s="111"/>
      <c r="K17" s="112"/>
    </row>
    <row r="18" spans="1:11" x14ac:dyDescent="0.3">
      <c r="A18" s="5"/>
      <c r="B18" s="6"/>
      <c r="C18" s="6" t="s">
        <v>97</v>
      </c>
      <c r="D18" s="1" t="s">
        <v>36</v>
      </c>
      <c r="E18" t="s">
        <v>109</v>
      </c>
      <c r="F18">
        <v>2</v>
      </c>
      <c r="G18" t="s">
        <v>108</v>
      </c>
      <c r="H18" s="111">
        <f t="shared" si="1"/>
        <v>49.782125344774748</v>
      </c>
      <c r="I18" s="111">
        <f t="shared" si="0"/>
        <v>99.564250689549496</v>
      </c>
      <c r="J18" s="111"/>
      <c r="K18" s="112"/>
    </row>
    <row r="19" spans="1:11" x14ac:dyDescent="0.3">
      <c r="A19" s="5"/>
      <c r="B19" s="6"/>
      <c r="C19" s="6" t="s">
        <v>98</v>
      </c>
      <c r="D19" s="1" t="s">
        <v>37</v>
      </c>
      <c r="E19" t="s">
        <v>109</v>
      </c>
      <c r="F19">
        <v>1</v>
      </c>
      <c r="G19" t="s">
        <v>108</v>
      </c>
      <c r="H19" s="111">
        <f t="shared" si="1"/>
        <v>49.782125344774748</v>
      </c>
      <c r="I19" s="111">
        <f t="shared" si="0"/>
        <v>49.782125344774748</v>
      </c>
      <c r="J19" s="111"/>
      <c r="K19" s="112"/>
    </row>
    <row r="20" spans="1:11" x14ac:dyDescent="0.3">
      <c r="A20" s="5" t="s">
        <v>8</v>
      </c>
      <c r="B20" s="6"/>
      <c r="C20" s="6"/>
      <c r="D20" s="7" t="s">
        <v>38</v>
      </c>
      <c r="H20" s="111" t="str">
        <f t="shared" si="1"/>
        <v/>
      </c>
      <c r="I20" s="111" t="str">
        <f t="shared" si="0"/>
        <v/>
      </c>
      <c r="J20" s="111"/>
      <c r="K20" s="112">
        <f>SUM(J21:J30)</f>
        <v>2433.690244536559</v>
      </c>
    </row>
    <row r="21" spans="1:11" x14ac:dyDescent="0.3">
      <c r="A21" s="5"/>
      <c r="B21" s="6" t="s">
        <v>7</v>
      </c>
      <c r="C21" s="6"/>
      <c r="D21" s="1" t="s">
        <v>39</v>
      </c>
      <c r="E21" t="s">
        <v>111</v>
      </c>
      <c r="F21">
        <v>1</v>
      </c>
      <c r="G21" t="s">
        <v>108</v>
      </c>
      <c r="H21" s="111">
        <f t="shared" si="1"/>
        <v>42.159269173306768</v>
      </c>
      <c r="I21" s="111">
        <f t="shared" si="0"/>
        <v>42.159269173306768</v>
      </c>
      <c r="J21" s="111">
        <f t="shared" ref="J21:J30" si="2">I21</f>
        <v>42.159269173306768</v>
      </c>
      <c r="K21" s="112"/>
    </row>
    <row r="22" spans="1:11" x14ac:dyDescent="0.3">
      <c r="A22" s="5"/>
      <c r="B22" s="6" t="s">
        <v>13</v>
      </c>
      <c r="C22" s="6"/>
      <c r="D22" s="1" t="s">
        <v>40</v>
      </c>
      <c r="E22" t="s">
        <v>112</v>
      </c>
      <c r="F22">
        <v>4</v>
      </c>
      <c r="G22" t="s">
        <v>108</v>
      </c>
      <c r="H22" s="111">
        <f t="shared" si="1"/>
        <v>45.220459339114129</v>
      </c>
      <c r="I22" s="111">
        <f t="shared" si="0"/>
        <v>180.88183735645651</v>
      </c>
      <c r="J22" s="111">
        <f t="shared" si="2"/>
        <v>180.88183735645651</v>
      </c>
      <c r="K22" s="112"/>
    </row>
    <row r="23" spans="1:11" x14ac:dyDescent="0.3">
      <c r="A23" s="5"/>
      <c r="B23" s="6" t="s">
        <v>14</v>
      </c>
      <c r="C23" s="6"/>
      <c r="D23" s="1" t="s">
        <v>41</v>
      </c>
      <c r="E23" t="s">
        <v>111</v>
      </c>
      <c r="F23">
        <v>1</v>
      </c>
      <c r="G23" t="s">
        <v>108</v>
      </c>
      <c r="H23" s="111">
        <f t="shared" si="1"/>
        <v>42.159269173306768</v>
      </c>
      <c r="I23" s="111">
        <f t="shared" si="0"/>
        <v>42.159269173306768</v>
      </c>
      <c r="J23" s="111">
        <f t="shared" si="2"/>
        <v>42.159269173306768</v>
      </c>
      <c r="K23" s="112"/>
    </row>
    <row r="24" spans="1:11" x14ac:dyDescent="0.3">
      <c r="A24" s="5"/>
      <c r="B24" s="6" t="s">
        <v>99</v>
      </c>
      <c r="C24" s="6"/>
      <c r="D24" s="1" t="s">
        <v>42</v>
      </c>
      <c r="E24" t="s">
        <v>111</v>
      </c>
      <c r="F24">
        <v>1</v>
      </c>
      <c r="G24" t="s">
        <v>108</v>
      </c>
      <c r="H24" s="111">
        <f t="shared" si="1"/>
        <v>42.159269173306768</v>
      </c>
      <c r="I24" s="111">
        <f t="shared" si="0"/>
        <v>42.159269173306768</v>
      </c>
      <c r="J24" s="111">
        <f t="shared" si="2"/>
        <v>42.159269173306768</v>
      </c>
      <c r="K24" s="112"/>
    </row>
    <row r="25" spans="1:11" x14ac:dyDescent="0.3">
      <c r="A25" s="5"/>
      <c r="B25" s="6" t="s">
        <v>100</v>
      </c>
      <c r="C25" s="6"/>
      <c r="D25" s="1" t="s">
        <v>43</v>
      </c>
      <c r="E25" t="s">
        <v>111</v>
      </c>
      <c r="F25">
        <v>2</v>
      </c>
      <c r="G25" t="s">
        <v>108</v>
      </c>
      <c r="H25" s="111">
        <f t="shared" si="1"/>
        <v>42.159269173306768</v>
      </c>
      <c r="I25" s="111">
        <f t="shared" si="0"/>
        <v>84.318538346613536</v>
      </c>
      <c r="J25" s="111">
        <f t="shared" si="2"/>
        <v>84.318538346613536</v>
      </c>
      <c r="K25" s="112"/>
    </row>
    <row r="26" spans="1:11" x14ac:dyDescent="0.3">
      <c r="A26" s="5"/>
      <c r="B26" s="6" t="s">
        <v>101</v>
      </c>
      <c r="C26" s="6"/>
      <c r="D26" s="1" t="s">
        <v>44</v>
      </c>
      <c r="E26" t="s">
        <v>112</v>
      </c>
      <c r="F26">
        <v>6</v>
      </c>
      <c r="G26" t="s">
        <v>108</v>
      </c>
      <c r="H26" s="111">
        <f t="shared" si="1"/>
        <v>45.220459339114129</v>
      </c>
      <c r="I26" s="111">
        <f t="shared" si="0"/>
        <v>271.32275603468474</v>
      </c>
      <c r="J26" s="111">
        <f t="shared" si="2"/>
        <v>271.32275603468474</v>
      </c>
      <c r="K26" s="112"/>
    </row>
    <row r="27" spans="1:11" x14ac:dyDescent="0.3">
      <c r="A27" s="5"/>
      <c r="B27" s="6" t="s">
        <v>102</v>
      </c>
      <c r="C27" s="6"/>
      <c r="D27" s="1" t="s">
        <v>45</v>
      </c>
      <c r="E27" t="s">
        <v>111</v>
      </c>
      <c r="F27">
        <v>22</v>
      </c>
      <c r="G27" t="s">
        <v>108</v>
      </c>
      <c r="H27" s="111">
        <f t="shared" si="1"/>
        <v>42.159269173306768</v>
      </c>
      <c r="I27" s="111">
        <f t="shared" si="0"/>
        <v>927.5039218127489</v>
      </c>
      <c r="J27" s="111">
        <f t="shared" si="2"/>
        <v>927.5039218127489</v>
      </c>
      <c r="K27" s="112"/>
    </row>
    <row r="28" spans="1:11" x14ac:dyDescent="0.3">
      <c r="A28" s="5"/>
      <c r="B28" s="6" t="s">
        <v>103</v>
      </c>
      <c r="C28" s="6"/>
      <c r="D28" s="1" t="s">
        <v>46</v>
      </c>
      <c r="E28" t="s">
        <v>111</v>
      </c>
      <c r="F28">
        <v>8</v>
      </c>
      <c r="G28" t="s">
        <v>108</v>
      </c>
      <c r="H28" s="111">
        <f t="shared" si="1"/>
        <v>42.159269173306768</v>
      </c>
      <c r="I28" s="111">
        <f t="shared" si="0"/>
        <v>337.27415338645415</v>
      </c>
      <c r="J28" s="111">
        <f t="shared" si="2"/>
        <v>337.27415338645415</v>
      </c>
      <c r="K28" s="112"/>
    </row>
    <row r="29" spans="1:11" x14ac:dyDescent="0.3">
      <c r="A29" s="5"/>
      <c r="B29" s="6" t="s">
        <v>104</v>
      </c>
      <c r="C29" s="6"/>
      <c r="D29" s="1" t="s">
        <v>47</v>
      </c>
      <c r="E29" t="s">
        <v>111</v>
      </c>
      <c r="F29">
        <v>4</v>
      </c>
      <c r="G29" t="s">
        <v>108</v>
      </c>
      <c r="H29" s="111">
        <f t="shared" si="1"/>
        <v>42.159269173306768</v>
      </c>
      <c r="I29" s="111">
        <f t="shared" si="0"/>
        <v>168.63707669322707</v>
      </c>
      <c r="J29" s="111">
        <f t="shared" si="2"/>
        <v>168.63707669322707</v>
      </c>
      <c r="K29" s="112"/>
    </row>
    <row r="30" spans="1:11" x14ac:dyDescent="0.3">
      <c r="A30" s="5"/>
      <c r="B30" s="6" t="s">
        <v>105</v>
      </c>
      <c r="C30" s="6"/>
      <c r="D30" s="1" t="s">
        <v>48</v>
      </c>
      <c r="E30" t="s">
        <v>111</v>
      </c>
      <c r="F30">
        <v>8</v>
      </c>
      <c r="G30" t="s">
        <v>108</v>
      </c>
      <c r="H30" s="111">
        <f t="shared" si="1"/>
        <v>42.159269173306768</v>
      </c>
      <c r="I30" s="111">
        <f t="shared" si="0"/>
        <v>337.27415338645415</v>
      </c>
      <c r="J30" s="111">
        <f t="shared" si="2"/>
        <v>337.27415338645415</v>
      </c>
      <c r="K30" s="112"/>
    </row>
    <row r="31" spans="1:11" x14ac:dyDescent="0.3">
      <c r="A31" s="5" t="s">
        <v>9</v>
      </c>
      <c r="B31" s="6"/>
      <c r="C31" s="6"/>
      <c r="D31" s="7" t="s">
        <v>49</v>
      </c>
      <c r="H31" s="111" t="str">
        <f t="shared" si="1"/>
        <v/>
      </c>
      <c r="I31" s="111" t="str">
        <f t="shared" si="0"/>
        <v/>
      </c>
      <c r="J31" s="111"/>
      <c r="K31" s="112">
        <f>SUM(J32:J38)</f>
        <v>2361.0626646076757</v>
      </c>
    </row>
    <row r="32" spans="1:11" x14ac:dyDescent="0.3">
      <c r="A32" s="5"/>
      <c r="B32" s="6" t="s">
        <v>7</v>
      </c>
      <c r="C32" s="6"/>
      <c r="D32" s="1" t="s">
        <v>50</v>
      </c>
      <c r="E32" t="s">
        <v>113</v>
      </c>
      <c r="F32">
        <v>10</v>
      </c>
      <c r="G32" t="s">
        <v>108</v>
      </c>
      <c r="H32" s="111">
        <f t="shared" si="1"/>
        <v>49.154057104913683</v>
      </c>
      <c r="I32" s="111">
        <f t="shared" si="0"/>
        <v>491.54057104913682</v>
      </c>
      <c r="J32" s="111">
        <f t="shared" ref="J32:J38" si="3">I32</f>
        <v>491.54057104913682</v>
      </c>
      <c r="K32" s="112"/>
    </row>
    <row r="33" spans="1:11" x14ac:dyDescent="0.3">
      <c r="A33" s="5"/>
      <c r="B33" s="6" t="s">
        <v>13</v>
      </c>
      <c r="C33" s="6"/>
      <c r="D33" s="1" t="s">
        <v>51</v>
      </c>
      <c r="E33" t="s">
        <v>115</v>
      </c>
      <c r="F33">
        <v>3</v>
      </c>
      <c r="G33" t="s">
        <v>108</v>
      </c>
      <c r="H33" s="111">
        <f t="shared" si="1"/>
        <v>38.551814171883898</v>
      </c>
      <c r="I33" s="111">
        <f t="shared" si="0"/>
        <v>115.65544251565169</v>
      </c>
      <c r="J33" s="111">
        <f t="shared" si="3"/>
        <v>115.65544251565169</v>
      </c>
      <c r="K33" s="112"/>
    </row>
    <row r="34" spans="1:11" x14ac:dyDescent="0.3">
      <c r="A34" s="5"/>
      <c r="B34" s="6" t="s">
        <v>14</v>
      </c>
      <c r="C34" s="6"/>
      <c r="D34" s="1" t="s">
        <v>52</v>
      </c>
      <c r="E34" t="s">
        <v>114</v>
      </c>
      <c r="F34">
        <v>8</v>
      </c>
      <c r="G34" t="s">
        <v>108</v>
      </c>
      <c r="H34" s="111">
        <f t="shared" si="1"/>
        <v>43.846666276072185</v>
      </c>
      <c r="I34" s="111">
        <f t="shared" si="0"/>
        <v>350.77333020857748</v>
      </c>
      <c r="J34" s="111">
        <f t="shared" si="3"/>
        <v>350.77333020857748</v>
      </c>
      <c r="K34" s="112"/>
    </row>
    <row r="35" spans="1:11" x14ac:dyDescent="0.3">
      <c r="A35" s="5"/>
      <c r="B35" s="6" t="s">
        <v>99</v>
      </c>
      <c r="C35" s="6"/>
      <c r="D35" s="1" t="s">
        <v>53</v>
      </c>
      <c r="E35" t="s">
        <v>114</v>
      </c>
      <c r="F35">
        <v>4</v>
      </c>
      <c r="G35" t="s">
        <v>108</v>
      </c>
      <c r="H35" s="111">
        <f t="shared" si="1"/>
        <v>43.846666276072185</v>
      </c>
      <c r="I35" s="111">
        <f t="shared" si="0"/>
        <v>175.38666510428874</v>
      </c>
      <c r="J35" s="111">
        <f t="shared" si="3"/>
        <v>175.38666510428874</v>
      </c>
      <c r="K35" s="112"/>
    </row>
    <row r="36" spans="1:11" x14ac:dyDescent="0.3">
      <c r="A36" s="5"/>
      <c r="B36" s="6" t="s">
        <v>100</v>
      </c>
      <c r="C36" s="6"/>
      <c r="D36" s="1" t="s">
        <v>54</v>
      </c>
      <c r="E36" t="s">
        <v>114</v>
      </c>
      <c r="F36">
        <v>6</v>
      </c>
      <c r="G36" t="s">
        <v>108</v>
      </c>
      <c r="H36" s="111">
        <f t="shared" si="1"/>
        <v>43.846666276072185</v>
      </c>
      <c r="I36" s="111">
        <f t="shared" si="0"/>
        <v>263.07999765643308</v>
      </c>
      <c r="J36" s="111">
        <f t="shared" si="3"/>
        <v>263.07999765643308</v>
      </c>
      <c r="K36" s="112"/>
    </row>
    <row r="37" spans="1:11" x14ac:dyDescent="0.3">
      <c r="A37" s="5"/>
      <c r="B37" s="6" t="s">
        <v>101</v>
      </c>
      <c r="C37" s="6"/>
      <c r="D37" s="1" t="s">
        <v>55</v>
      </c>
      <c r="E37" t="s">
        <v>114</v>
      </c>
      <c r="F37">
        <v>12</v>
      </c>
      <c r="G37" t="s">
        <v>108</v>
      </c>
      <c r="H37" s="111">
        <f t="shared" si="1"/>
        <v>43.846666276072185</v>
      </c>
      <c r="I37" s="111">
        <f t="shared" si="0"/>
        <v>526.15999531286616</v>
      </c>
      <c r="J37" s="111">
        <f t="shared" si="3"/>
        <v>526.15999531286616</v>
      </c>
      <c r="K37" s="112"/>
    </row>
    <row r="38" spans="1:11" ht="28.8" x14ac:dyDescent="0.3">
      <c r="A38" s="5"/>
      <c r="B38" s="6" t="s">
        <v>102</v>
      </c>
      <c r="C38" s="6"/>
      <c r="D38" s="1" t="s">
        <v>56</v>
      </c>
      <c r="E38" t="s">
        <v>114</v>
      </c>
      <c r="F38">
        <v>10</v>
      </c>
      <c r="G38" t="s">
        <v>108</v>
      </c>
      <c r="H38" s="111">
        <f t="shared" si="1"/>
        <v>43.846666276072185</v>
      </c>
      <c r="I38" s="111">
        <f t="shared" si="0"/>
        <v>438.46666276072187</v>
      </c>
      <c r="J38" s="111">
        <f t="shared" si="3"/>
        <v>438.46666276072187</v>
      </c>
      <c r="K38" s="112"/>
    </row>
    <row r="39" spans="1:11" x14ac:dyDescent="0.3">
      <c r="A39" s="5" t="s">
        <v>10</v>
      </c>
      <c r="B39" s="6"/>
      <c r="C39" s="6"/>
      <c r="D39" s="7" t="s">
        <v>57</v>
      </c>
      <c r="E39" t="s">
        <v>114</v>
      </c>
      <c r="F39">
        <v>6</v>
      </c>
      <c r="G39" t="s">
        <v>108</v>
      </c>
      <c r="H39" s="111">
        <f t="shared" si="1"/>
        <v>43.846666276072185</v>
      </c>
      <c r="I39" s="111">
        <f t="shared" si="0"/>
        <v>263.07999765643308</v>
      </c>
      <c r="J39" s="111">
        <f>SUM(I39)</f>
        <v>263.07999765643308</v>
      </c>
      <c r="K39" s="111">
        <f>SUM(J39)</f>
        <v>263.07999765643308</v>
      </c>
    </row>
    <row r="40" spans="1:11" x14ac:dyDescent="0.3">
      <c r="A40" s="5" t="s">
        <v>11</v>
      </c>
      <c r="B40" s="6"/>
      <c r="C40" s="6"/>
      <c r="D40" s="7" t="s">
        <v>58</v>
      </c>
      <c r="H40" s="111" t="str">
        <f t="shared" si="1"/>
        <v/>
      </c>
      <c r="I40" s="111" t="str">
        <f t="shared" si="0"/>
        <v/>
      </c>
      <c r="J40" s="111"/>
      <c r="K40" s="112">
        <f>SUM(J41:J50)</f>
        <v>4485.1818305489533</v>
      </c>
    </row>
    <row r="41" spans="1:11" x14ac:dyDescent="0.3">
      <c r="A41" s="5"/>
      <c r="B41" s="6" t="s">
        <v>7</v>
      </c>
      <c r="C41" s="6"/>
      <c r="D41" s="1" t="s">
        <v>59</v>
      </c>
      <c r="E41" t="s">
        <v>113</v>
      </c>
      <c r="F41">
        <v>6</v>
      </c>
      <c r="G41" t="s">
        <v>108</v>
      </c>
      <c r="H41" s="111">
        <f t="shared" si="1"/>
        <v>49.154057104913683</v>
      </c>
      <c r="I41" s="111">
        <f t="shared" si="0"/>
        <v>294.92434262948211</v>
      </c>
      <c r="J41" s="111">
        <f>I41</f>
        <v>294.92434262948211</v>
      </c>
      <c r="K41" s="112"/>
    </row>
    <row r="42" spans="1:11" x14ac:dyDescent="0.3">
      <c r="A42" s="5"/>
      <c r="B42" s="6" t="s">
        <v>13</v>
      </c>
      <c r="C42" s="6"/>
      <c r="D42" s="1" t="s">
        <v>60</v>
      </c>
      <c r="E42" t="s">
        <v>113</v>
      </c>
      <c r="F42">
        <v>1</v>
      </c>
      <c r="G42" t="s">
        <v>108</v>
      </c>
      <c r="H42" s="111">
        <f t="shared" si="1"/>
        <v>49.154057104913683</v>
      </c>
      <c r="I42" s="111">
        <f t="shared" si="0"/>
        <v>49.154057104913683</v>
      </c>
      <c r="J42" s="111">
        <f>I42</f>
        <v>49.154057104913683</v>
      </c>
      <c r="K42" s="112"/>
    </row>
    <row r="43" spans="1:11" x14ac:dyDescent="0.3">
      <c r="A43" s="5"/>
      <c r="B43" s="6" t="s">
        <v>14</v>
      </c>
      <c r="C43" s="6"/>
      <c r="D43" s="1" t="s">
        <v>61</v>
      </c>
      <c r="H43" s="111" t="str">
        <f t="shared" si="1"/>
        <v/>
      </c>
      <c r="I43" s="111" t="str">
        <f t="shared" si="0"/>
        <v/>
      </c>
      <c r="J43" s="111">
        <f>SUM(I44:I50)</f>
        <v>4141.1034308145572</v>
      </c>
      <c r="K43" s="112"/>
    </row>
    <row r="44" spans="1:11" x14ac:dyDescent="0.3">
      <c r="A44" s="5"/>
      <c r="B44" s="6"/>
      <c r="C44" s="6" t="s">
        <v>6</v>
      </c>
      <c r="D44" s="1" t="s">
        <v>62</v>
      </c>
      <c r="E44" t="s">
        <v>115</v>
      </c>
      <c r="F44">
        <v>22</v>
      </c>
      <c r="G44" t="s">
        <v>108</v>
      </c>
      <c r="H44" s="111">
        <f t="shared" si="1"/>
        <v>38.551814171883898</v>
      </c>
      <c r="I44" s="111">
        <f t="shared" si="0"/>
        <v>848.13991178144579</v>
      </c>
      <c r="J44" s="111"/>
      <c r="K44" s="112"/>
    </row>
    <row r="45" spans="1:11" ht="28.8" x14ac:dyDescent="0.3">
      <c r="A45" s="5"/>
      <c r="B45" s="6"/>
      <c r="C45" s="6" t="s">
        <v>8</v>
      </c>
      <c r="D45" s="1" t="s">
        <v>63</v>
      </c>
      <c r="E45" t="s">
        <v>115</v>
      </c>
      <c r="F45">
        <v>6</v>
      </c>
      <c r="G45" t="s">
        <v>108</v>
      </c>
      <c r="H45" s="111">
        <f t="shared" si="1"/>
        <v>38.551814171883898</v>
      </c>
      <c r="I45" s="111">
        <f t="shared" si="0"/>
        <v>231.31088503130337</v>
      </c>
      <c r="J45" s="111"/>
      <c r="K45" s="112"/>
    </row>
    <row r="46" spans="1:11" ht="28.8" x14ac:dyDescent="0.3">
      <c r="A46" s="5"/>
      <c r="B46" s="6"/>
      <c r="C46" s="6" t="s">
        <v>9</v>
      </c>
      <c r="D46" s="1" t="s">
        <v>64</v>
      </c>
      <c r="E46" t="s">
        <v>114</v>
      </c>
      <c r="F46">
        <v>24</v>
      </c>
      <c r="G46" t="s">
        <v>108</v>
      </c>
      <c r="H46" s="111">
        <f t="shared" si="1"/>
        <v>43.846666276072185</v>
      </c>
      <c r="I46" s="111">
        <f t="shared" si="0"/>
        <v>1052.3199906257323</v>
      </c>
      <c r="J46" s="111"/>
      <c r="K46" s="112"/>
    </row>
    <row r="47" spans="1:11" x14ac:dyDescent="0.3">
      <c r="A47" s="5"/>
      <c r="B47" s="6"/>
      <c r="C47" s="6" t="s">
        <v>10</v>
      </c>
      <c r="D47" s="1" t="s">
        <v>65</v>
      </c>
      <c r="E47" t="s">
        <v>115</v>
      </c>
      <c r="F47">
        <v>12</v>
      </c>
      <c r="G47" t="s">
        <v>108</v>
      </c>
      <c r="H47" s="111">
        <f t="shared" si="1"/>
        <v>38.551814171883898</v>
      </c>
      <c r="I47" s="111">
        <f t="shared" si="0"/>
        <v>462.62177006260674</v>
      </c>
      <c r="J47" s="111"/>
      <c r="K47" s="112"/>
    </row>
    <row r="48" spans="1:11" ht="28.8" x14ac:dyDescent="0.3">
      <c r="A48" s="5"/>
      <c r="B48" s="6"/>
      <c r="C48" s="6" t="s">
        <v>11</v>
      </c>
      <c r="D48" s="1" t="s">
        <v>66</v>
      </c>
      <c r="E48" t="s">
        <v>114</v>
      </c>
      <c r="F48">
        <v>20</v>
      </c>
      <c r="G48" t="s">
        <v>108</v>
      </c>
      <c r="H48" s="111">
        <f t="shared" si="1"/>
        <v>43.846666276072185</v>
      </c>
      <c r="I48" s="111">
        <f t="shared" si="0"/>
        <v>876.93332552144375</v>
      </c>
      <c r="J48" s="111"/>
      <c r="K48" s="112"/>
    </row>
    <row r="49" spans="1:11" x14ac:dyDescent="0.3">
      <c r="A49" s="5"/>
      <c r="B49" s="6"/>
      <c r="C49" s="6" t="s">
        <v>12</v>
      </c>
      <c r="D49" s="1" t="s">
        <v>67</v>
      </c>
      <c r="E49" t="s">
        <v>114</v>
      </c>
      <c r="F49">
        <v>10</v>
      </c>
      <c r="G49" t="s">
        <v>108</v>
      </c>
      <c r="H49" s="111">
        <f t="shared" si="1"/>
        <v>43.846666276072185</v>
      </c>
      <c r="I49" s="111">
        <f t="shared" si="0"/>
        <v>438.46666276072187</v>
      </c>
      <c r="J49" s="111"/>
      <c r="K49" s="112"/>
    </row>
    <row r="50" spans="1:11" x14ac:dyDescent="0.3">
      <c r="A50" s="5"/>
      <c r="B50" s="6"/>
      <c r="C50" s="6" t="s">
        <v>92</v>
      </c>
      <c r="D50" s="1" t="s">
        <v>68</v>
      </c>
      <c r="E50" t="s">
        <v>115</v>
      </c>
      <c r="F50">
        <v>6</v>
      </c>
      <c r="G50" t="s">
        <v>108</v>
      </c>
      <c r="H50" s="111">
        <f t="shared" si="1"/>
        <v>38.551814171883898</v>
      </c>
      <c r="I50" s="111">
        <f t="shared" si="0"/>
        <v>231.31088503130337</v>
      </c>
      <c r="J50" s="111"/>
      <c r="K50" s="112"/>
    </row>
    <row r="51" spans="1:11" x14ac:dyDescent="0.3">
      <c r="A51" s="5" t="s">
        <v>12</v>
      </c>
      <c r="B51" s="6"/>
      <c r="C51" s="6"/>
      <c r="D51" s="7" t="s">
        <v>69</v>
      </c>
      <c r="H51" s="111" t="str">
        <f t="shared" si="1"/>
        <v/>
      </c>
      <c r="I51" s="111" t="str">
        <f t="shared" si="0"/>
        <v/>
      </c>
      <c r="J51" s="111"/>
      <c r="K51" s="112">
        <f>SUM(J52:J60)</f>
        <v>1359.9032002243127</v>
      </c>
    </row>
    <row r="52" spans="1:11" x14ac:dyDescent="0.3">
      <c r="A52" s="5"/>
      <c r="B52" s="6" t="s">
        <v>7</v>
      </c>
      <c r="C52" s="6"/>
      <c r="D52" s="1" t="s">
        <v>70</v>
      </c>
      <c r="E52" t="s">
        <v>115</v>
      </c>
      <c r="F52">
        <v>6</v>
      </c>
      <c r="G52" t="s">
        <v>108</v>
      </c>
      <c r="H52" s="111">
        <f t="shared" si="1"/>
        <v>38.551814171883898</v>
      </c>
      <c r="I52" s="111">
        <f t="shared" si="0"/>
        <v>231.31088503130337</v>
      </c>
      <c r="J52" s="111">
        <f t="shared" ref="J52:J60" si="4">I52</f>
        <v>231.31088503130337</v>
      </c>
      <c r="K52" s="112"/>
    </row>
    <row r="53" spans="1:11" x14ac:dyDescent="0.3">
      <c r="A53" s="5"/>
      <c r="B53" s="6" t="s">
        <v>13</v>
      </c>
      <c r="C53" s="6"/>
      <c r="D53" s="1" t="s">
        <v>71</v>
      </c>
      <c r="E53" t="s">
        <v>115</v>
      </c>
      <c r="F53">
        <v>4</v>
      </c>
      <c r="G53" t="s">
        <v>108</v>
      </c>
      <c r="H53" s="111">
        <f t="shared" si="1"/>
        <v>38.551814171883898</v>
      </c>
      <c r="I53" s="111">
        <f t="shared" si="0"/>
        <v>154.20725668753559</v>
      </c>
      <c r="J53" s="111">
        <f t="shared" si="4"/>
        <v>154.20725668753559</v>
      </c>
      <c r="K53" s="112"/>
    </row>
    <row r="54" spans="1:11" x14ac:dyDescent="0.3">
      <c r="A54" s="5"/>
      <c r="B54" s="6" t="s">
        <v>14</v>
      </c>
      <c r="C54" s="6"/>
      <c r="D54" s="1" t="s">
        <v>72</v>
      </c>
      <c r="E54" t="s">
        <v>115</v>
      </c>
      <c r="F54">
        <v>5</v>
      </c>
      <c r="G54" t="s">
        <v>108</v>
      </c>
      <c r="H54" s="111">
        <f t="shared" si="1"/>
        <v>38.551814171883898</v>
      </c>
      <c r="I54" s="111">
        <f t="shared" si="0"/>
        <v>192.7590708594195</v>
      </c>
      <c r="J54" s="111">
        <f t="shared" si="4"/>
        <v>192.7590708594195</v>
      </c>
      <c r="K54" s="112"/>
    </row>
    <row r="55" spans="1:11" x14ac:dyDescent="0.3">
      <c r="A55" s="5"/>
      <c r="B55" s="6" t="s">
        <v>99</v>
      </c>
      <c r="C55" s="6"/>
      <c r="D55" s="1" t="s">
        <v>73</v>
      </c>
      <c r="E55" t="s">
        <v>115</v>
      </c>
      <c r="F55">
        <v>3</v>
      </c>
      <c r="G55" t="s">
        <v>108</v>
      </c>
      <c r="H55" s="111">
        <f t="shared" si="1"/>
        <v>38.551814171883898</v>
      </c>
      <c r="I55" s="111">
        <f t="shared" si="0"/>
        <v>115.65544251565169</v>
      </c>
      <c r="J55" s="111">
        <f t="shared" si="4"/>
        <v>115.65544251565169</v>
      </c>
      <c r="K55" s="112"/>
    </row>
    <row r="56" spans="1:11" ht="28.8" x14ac:dyDescent="0.3">
      <c r="A56" s="5"/>
      <c r="B56" s="6" t="s">
        <v>100</v>
      </c>
      <c r="C56" s="6"/>
      <c r="D56" s="1" t="s">
        <v>74</v>
      </c>
      <c r="E56" t="s">
        <v>115</v>
      </c>
      <c r="F56">
        <v>4</v>
      </c>
      <c r="G56" t="s">
        <v>108</v>
      </c>
      <c r="H56" s="111">
        <f t="shared" si="1"/>
        <v>38.551814171883898</v>
      </c>
      <c r="I56" s="111">
        <f t="shared" si="0"/>
        <v>154.20725668753559</v>
      </c>
      <c r="J56" s="111">
        <f t="shared" si="4"/>
        <v>154.20725668753559</v>
      </c>
      <c r="K56" s="112"/>
    </row>
    <row r="57" spans="1:11" x14ac:dyDescent="0.3">
      <c r="A57" s="5"/>
      <c r="B57" s="6" t="s">
        <v>101</v>
      </c>
      <c r="C57" s="6"/>
      <c r="D57" s="1" t="s">
        <v>75</v>
      </c>
      <c r="E57" t="s">
        <v>115</v>
      </c>
      <c r="F57">
        <v>5</v>
      </c>
      <c r="G57" t="s">
        <v>108</v>
      </c>
      <c r="H57" s="111">
        <f t="shared" si="1"/>
        <v>38.551814171883898</v>
      </c>
      <c r="I57" s="111">
        <f t="shared" si="0"/>
        <v>192.7590708594195</v>
      </c>
      <c r="J57" s="111">
        <f t="shared" si="4"/>
        <v>192.7590708594195</v>
      </c>
      <c r="K57" s="112"/>
    </row>
    <row r="58" spans="1:11" x14ac:dyDescent="0.3">
      <c r="A58" s="5"/>
      <c r="B58" s="6" t="s">
        <v>102</v>
      </c>
      <c r="C58" s="6"/>
      <c r="D58" s="1" t="s">
        <v>76</v>
      </c>
      <c r="E58" t="s">
        <v>115</v>
      </c>
      <c r="F58">
        <v>3</v>
      </c>
      <c r="G58" t="s">
        <v>108</v>
      </c>
      <c r="H58" s="111">
        <f t="shared" si="1"/>
        <v>38.551814171883898</v>
      </c>
      <c r="I58" s="111">
        <f t="shared" si="0"/>
        <v>115.65544251565169</v>
      </c>
      <c r="J58" s="111">
        <f t="shared" si="4"/>
        <v>115.65544251565169</v>
      </c>
      <c r="K58" s="112"/>
    </row>
    <row r="59" spans="1:11" x14ac:dyDescent="0.3">
      <c r="A59" s="5"/>
      <c r="B59" s="6" t="s">
        <v>103</v>
      </c>
      <c r="C59" s="6"/>
      <c r="D59" s="1" t="s">
        <v>77</v>
      </c>
      <c r="E59" t="s">
        <v>115</v>
      </c>
      <c r="F59">
        <v>3</v>
      </c>
      <c r="G59" t="s">
        <v>108</v>
      </c>
      <c r="H59" s="111">
        <f t="shared" si="1"/>
        <v>38.551814171883898</v>
      </c>
      <c r="I59" s="111">
        <f t="shared" si="0"/>
        <v>115.65544251565169</v>
      </c>
      <c r="J59" s="111">
        <f t="shared" si="4"/>
        <v>115.65544251565169</v>
      </c>
      <c r="K59" s="112"/>
    </row>
    <row r="60" spans="1:11" x14ac:dyDescent="0.3">
      <c r="A60" s="5"/>
      <c r="B60" s="6" t="s">
        <v>104</v>
      </c>
      <c r="C60" s="6"/>
      <c r="D60" s="1" t="s">
        <v>78</v>
      </c>
      <c r="E60" t="s">
        <v>114</v>
      </c>
      <c r="F60">
        <v>2</v>
      </c>
      <c r="G60" t="s">
        <v>108</v>
      </c>
      <c r="H60" s="111">
        <f t="shared" si="1"/>
        <v>43.846666276072185</v>
      </c>
      <c r="I60" s="111">
        <f t="shared" si="0"/>
        <v>87.693332552144369</v>
      </c>
      <c r="J60" s="111">
        <f t="shared" si="4"/>
        <v>87.693332552144369</v>
      </c>
      <c r="K60" s="112"/>
    </row>
    <row r="61" spans="1:11" x14ac:dyDescent="0.3">
      <c r="A61" s="5" t="s">
        <v>92</v>
      </c>
      <c r="B61" s="6"/>
      <c r="C61" s="6"/>
      <c r="D61" s="7" t="s">
        <v>79</v>
      </c>
      <c r="H61" s="111" t="str">
        <f t="shared" si="1"/>
        <v/>
      </c>
      <c r="I61" s="111" t="str">
        <f t="shared" si="0"/>
        <v/>
      </c>
      <c r="J61" s="111"/>
      <c r="K61" s="112">
        <f>SUM(J62:J73)</f>
        <v>1285.9236266810587</v>
      </c>
    </row>
    <row r="62" spans="1:11" ht="28.8" x14ac:dyDescent="0.3">
      <c r="A62" s="5"/>
      <c r="B62" s="6" t="s">
        <v>7</v>
      </c>
      <c r="C62" s="6"/>
      <c r="D62" s="1" t="s">
        <v>80</v>
      </c>
      <c r="E62" t="s">
        <v>109</v>
      </c>
      <c r="F62">
        <v>1</v>
      </c>
      <c r="G62" t="s">
        <v>108</v>
      </c>
      <c r="H62" s="111">
        <f t="shared" si="1"/>
        <v>49.782125344774748</v>
      </c>
      <c r="I62" s="111">
        <f t="shared" si="0"/>
        <v>49.782125344774748</v>
      </c>
      <c r="J62" s="111">
        <f t="shared" ref="J62:J73" si="5">I62</f>
        <v>49.782125344774748</v>
      </c>
      <c r="K62" s="112"/>
    </row>
    <row r="63" spans="1:11" x14ac:dyDescent="0.3">
      <c r="A63" s="5"/>
      <c r="B63" s="6" t="s">
        <v>13</v>
      </c>
      <c r="C63" s="6"/>
      <c r="D63" s="1" t="s">
        <v>81</v>
      </c>
      <c r="E63" t="s">
        <v>109</v>
      </c>
      <c r="F63">
        <v>1</v>
      </c>
      <c r="G63" t="s">
        <v>108</v>
      </c>
      <c r="H63" s="111">
        <f t="shared" si="1"/>
        <v>49.782125344774748</v>
      </c>
      <c r="I63" s="111">
        <f t="shared" si="0"/>
        <v>49.782125344774748</v>
      </c>
      <c r="J63" s="111">
        <f t="shared" si="5"/>
        <v>49.782125344774748</v>
      </c>
      <c r="K63" s="112"/>
    </row>
    <row r="64" spans="1:11" x14ac:dyDescent="0.3">
      <c r="A64" s="5"/>
      <c r="B64" s="6" t="s">
        <v>14</v>
      </c>
      <c r="C64" s="6"/>
      <c r="D64" s="1" t="s">
        <v>82</v>
      </c>
      <c r="E64" t="s">
        <v>112</v>
      </c>
      <c r="F64">
        <v>1</v>
      </c>
      <c r="G64" t="s">
        <v>108</v>
      </c>
      <c r="H64" s="111">
        <f t="shared" si="1"/>
        <v>45.220459339114129</v>
      </c>
      <c r="I64" s="111">
        <f t="shared" si="0"/>
        <v>45.220459339114129</v>
      </c>
      <c r="J64" s="111">
        <f t="shared" si="5"/>
        <v>45.220459339114129</v>
      </c>
      <c r="K64" s="112"/>
    </row>
    <row r="65" spans="1:11" ht="28.8" x14ac:dyDescent="0.3">
      <c r="A65" s="5"/>
      <c r="B65" s="6" t="s">
        <v>99</v>
      </c>
      <c r="C65" s="6"/>
      <c r="D65" s="1" t="s">
        <v>83</v>
      </c>
      <c r="E65" t="s">
        <v>112</v>
      </c>
      <c r="F65">
        <v>2</v>
      </c>
      <c r="G65" t="s">
        <v>108</v>
      </c>
      <c r="H65" s="111">
        <f t="shared" si="1"/>
        <v>45.220459339114129</v>
      </c>
      <c r="I65" s="111">
        <f t="shared" si="0"/>
        <v>90.440918678228257</v>
      </c>
      <c r="J65" s="111">
        <f t="shared" si="5"/>
        <v>90.440918678228257</v>
      </c>
      <c r="K65" s="112"/>
    </row>
    <row r="66" spans="1:11" ht="28.8" x14ac:dyDescent="0.3">
      <c r="A66" s="5"/>
      <c r="B66" s="6" t="s">
        <v>100</v>
      </c>
      <c r="C66" s="6"/>
      <c r="D66" s="1" t="s">
        <v>84</v>
      </c>
      <c r="E66" t="s">
        <v>109</v>
      </c>
      <c r="F66">
        <v>3</v>
      </c>
      <c r="G66" t="s">
        <v>108</v>
      </c>
      <c r="H66" s="111">
        <f t="shared" si="1"/>
        <v>49.782125344774748</v>
      </c>
      <c r="I66" s="111">
        <f t="shared" si="0"/>
        <v>149.34637603432424</v>
      </c>
      <c r="J66" s="111">
        <f t="shared" si="5"/>
        <v>149.34637603432424</v>
      </c>
      <c r="K66" s="112"/>
    </row>
    <row r="67" spans="1:11" x14ac:dyDescent="0.3">
      <c r="A67" s="5"/>
      <c r="B67" s="6" t="s">
        <v>101</v>
      </c>
      <c r="C67" s="6"/>
      <c r="D67" s="1" t="s">
        <v>85</v>
      </c>
      <c r="E67" t="s">
        <v>111</v>
      </c>
      <c r="F67">
        <v>2</v>
      </c>
      <c r="G67" t="s">
        <v>108</v>
      </c>
      <c r="H67" s="111">
        <f t="shared" si="1"/>
        <v>42.159269173306768</v>
      </c>
      <c r="I67" s="111">
        <f t="shared" si="0"/>
        <v>84.318538346613536</v>
      </c>
      <c r="J67" s="111">
        <f t="shared" si="5"/>
        <v>84.318538346613536</v>
      </c>
      <c r="K67" s="112"/>
    </row>
    <row r="68" spans="1:11" x14ac:dyDescent="0.3">
      <c r="A68" s="5"/>
      <c r="B68" s="6" t="s">
        <v>102</v>
      </c>
      <c r="C68" s="6"/>
      <c r="D68" s="1" t="s">
        <v>86</v>
      </c>
      <c r="E68" t="s">
        <v>113</v>
      </c>
      <c r="F68">
        <v>3</v>
      </c>
      <c r="G68" t="s">
        <v>108</v>
      </c>
      <c r="H68" s="111">
        <f t="shared" si="1"/>
        <v>49.154057104913683</v>
      </c>
      <c r="I68" s="111">
        <f t="shared" ref="I68:I73" si="6">IFERROR(H68*F68,"")</f>
        <v>147.46217131474106</v>
      </c>
      <c r="J68" s="111">
        <f t="shared" si="5"/>
        <v>147.46217131474106</v>
      </c>
      <c r="K68" s="112"/>
    </row>
    <row r="69" spans="1:11" x14ac:dyDescent="0.3">
      <c r="A69" s="5"/>
      <c r="B69" s="6" t="s">
        <v>103</v>
      </c>
      <c r="C69" s="6"/>
      <c r="D69" s="1" t="s">
        <v>87</v>
      </c>
      <c r="E69" t="s">
        <v>114</v>
      </c>
      <c r="F69">
        <v>6</v>
      </c>
      <c r="G69" t="s">
        <v>108</v>
      </c>
      <c r="H69" s="111">
        <f t="shared" ref="H69:H73" si="7">_xlfn.XLOOKUP(E69,$D$77:$D$82,$E$77:$E$82,"")</f>
        <v>43.846666276072185</v>
      </c>
      <c r="I69" s="111">
        <f t="shared" si="6"/>
        <v>263.07999765643308</v>
      </c>
      <c r="J69" s="111">
        <f t="shared" si="5"/>
        <v>263.07999765643308</v>
      </c>
      <c r="K69" s="112"/>
    </row>
    <row r="70" spans="1:11" x14ac:dyDescent="0.3">
      <c r="A70" s="5"/>
      <c r="B70" s="6" t="s">
        <v>104</v>
      </c>
      <c r="C70" s="6"/>
      <c r="D70" s="1" t="s">
        <v>88</v>
      </c>
      <c r="E70" t="s">
        <v>114</v>
      </c>
      <c r="F70">
        <v>2</v>
      </c>
      <c r="G70" t="s">
        <v>108</v>
      </c>
      <c r="H70" s="111">
        <f t="shared" si="7"/>
        <v>43.846666276072185</v>
      </c>
      <c r="I70" s="111">
        <f t="shared" si="6"/>
        <v>87.693332552144369</v>
      </c>
      <c r="J70" s="111">
        <f t="shared" si="5"/>
        <v>87.693332552144369</v>
      </c>
      <c r="K70" s="112"/>
    </row>
    <row r="71" spans="1:11" x14ac:dyDescent="0.3">
      <c r="A71" s="5"/>
      <c r="B71" s="6" t="s">
        <v>105</v>
      </c>
      <c r="C71" s="6"/>
      <c r="D71" s="1" t="s">
        <v>89</v>
      </c>
      <c r="E71" t="s">
        <v>114</v>
      </c>
      <c r="F71">
        <v>5</v>
      </c>
      <c r="G71" t="s">
        <v>108</v>
      </c>
      <c r="H71" s="111">
        <f t="shared" si="7"/>
        <v>43.846666276072185</v>
      </c>
      <c r="I71" s="111">
        <f t="shared" si="6"/>
        <v>219.23333138036094</v>
      </c>
      <c r="J71" s="111">
        <f t="shared" si="5"/>
        <v>219.23333138036094</v>
      </c>
      <c r="K71" s="112"/>
    </row>
    <row r="72" spans="1:11" x14ac:dyDescent="0.3">
      <c r="A72" s="5"/>
      <c r="B72" s="6" t="s">
        <v>106</v>
      </c>
      <c r="C72" s="6"/>
      <c r="D72" s="1" t="s">
        <v>90</v>
      </c>
      <c r="E72" t="s">
        <v>109</v>
      </c>
      <c r="F72">
        <v>1</v>
      </c>
      <c r="G72" t="s">
        <v>108</v>
      </c>
      <c r="H72" s="111">
        <f t="shared" si="7"/>
        <v>49.782125344774748</v>
      </c>
      <c r="I72" s="111">
        <f t="shared" si="6"/>
        <v>49.782125344774748</v>
      </c>
      <c r="J72" s="111">
        <f t="shared" si="5"/>
        <v>49.782125344774748</v>
      </c>
      <c r="K72" s="112"/>
    </row>
    <row r="73" spans="1:11" x14ac:dyDescent="0.3">
      <c r="A73" s="8"/>
      <c r="B73" s="9" t="s">
        <v>107</v>
      </c>
      <c r="C73" s="9"/>
      <c r="D73" s="10" t="s">
        <v>91</v>
      </c>
      <c r="E73" s="11" t="s">
        <v>109</v>
      </c>
      <c r="F73" s="11">
        <v>1</v>
      </c>
      <c r="G73" s="11" t="s">
        <v>108</v>
      </c>
      <c r="H73" s="111">
        <f t="shared" si="7"/>
        <v>49.782125344774748</v>
      </c>
      <c r="I73" s="111">
        <f t="shared" si="6"/>
        <v>49.782125344774748</v>
      </c>
      <c r="J73" s="111">
        <f t="shared" si="5"/>
        <v>49.782125344774748</v>
      </c>
      <c r="K73" s="113"/>
    </row>
    <row r="74" spans="1:11" x14ac:dyDescent="0.3">
      <c r="A74" s="119" t="s">
        <v>4</v>
      </c>
      <c r="B74" s="120"/>
      <c r="C74" s="120"/>
      <c r="D74" s="120"/>
      <c r="E74" s="120"/>
      <c r="F74" s="120"/>
      <c r="G74" s="120"/>
      <c r="H74" s="120"/>
      <c r="I74" s="120"/>
      <c r="J74" s="120"/>
      <c r="K74" s="114">
        <f>SUM(K3:K73)</f>
        <v>13383.612572529586</v>
      </c>
    </row>
    <row r="75" spans="1:11" x14ac:dyDescent="0.3">
      <c r="J75" t="s">
        <v>196</v>
      </c>
      <c r="K75" s="2">
        <f>Costs!K75</f>
        <v>0.25</v>
      </c>
    </row>
    <row r="76" spans="1:11" x14ac:dyDescent="0.3">
      <c r="D76" s="7" t="s">
        <v>110</v>
      </c>
      <c r="E76" t="s">
        <v>195</v>
      </c>
      <c r="J76" t="s">
        <v>197</v>
      </c>
      <c r="K76" s="111">
        <f>K74*(1+K75)</f>
        <v>16729.515715661983</v>
      </c>
    </row>
    <row r="77" spans="1:11" x14ac:dyDescent="0.3">
      <c r="D77" t="s">
        <v>109</v>
      </c>
      <c r="E77" s="110">
        <f>'Company definition'!F82</f>
        <v>49.782125344774748</v>
      </c>
    </row>
    <row r="78" spans="1:11" x14ac:dyDescent="0.3">
      <c r="D78" t="s">
        <v>112</v>
      </c>
      <c r="E78" s="110">
        <f>'Company definition'!F85</f>
        <v>45.220459339114129</v>
      </c>
    </row>
    <row r="79" spans="1:11" x14ac:dyDescent="0.3">
      <c r="D79" t="s">
        <v>111</v>
      </c>
      <c r="E79" s="110">
        <f>'Company definition'!F84</f>
        <v>42.159269173306768</v>
      </c>
    </row>
    <row r="80" spans="1:11" x14ac:dyDescent="0.3">
      <c r="D80" t="s">
        <v>113</v>
      </c>
      <c r="E80" s="110">
        <f>'Company definition'!F86</f>
        <v>49.154057104913683</v>
      </c>
    </row>
    <row r="81" spans="4:5" x14ac:dyDescent="0.3">
      <c r="D81" t="s">
        <v>114</v>
      </c>
      <c r="E81" s="110">
        <f>'Company definition'!F87</f>
        <v>43.846666276072185</v>
      </c>
    </row>
    <row r="82" spans="4:5" x14ac:dyDescent="0.3">
      <c r="D82" t="s">
        <v>115</v>
      </c>
      <c r="E82" s="110">
        <f>'Company definition'!F88</f>
        <v>38.551814171883898</v>
      </c>
    </row>
  </sheetData>
  <mergeCells count="2">
    <mergeCell ref="A1:K1"/>
    <mergeCell ref="A74:J74"/>
  </mergeCells>
  <dataValidations count="1">
    <dataValidation type="list" allowBlank="1" showInputMessage="1" showErrorMessage="1" sqref="E3:E73" xr:uid="{4CD2D6A9-C0F5-474D-9512-378F9EDC2D26}">
      <formula1>$D$77:$D$82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Company definition</vt:lpstr>
      <vt:lpstr>Costs</vt:lpstr>
      <vt:lpstr>Final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Carrasco Arango</dc:creator>
  <cp:lastModifiedBy>Javier Carrasco Arango</cp:lastModifiedBy>
  <dcterms:created xsi:type="dcterms:W3CDTF">2015-06-05T18:17:20Z</dcterms:created>
  <dcterms:modified xsi:type="dcterms:W3CDTF">2026-06-15T16:31:55Z</dcterms:modified>
</cp:coreProperties>
</file>