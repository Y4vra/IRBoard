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avie\Desktop\proyectos\IRBoard\docs\"/>
    </mc:Choice>
  </mc:AlternateContent>
  <xr:revisionPtr revIDLastSave="0" documentId="13_ncr:1_{ACF91FD6-6829-470F-87AD-E183670224A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mpany definition" sheetId="2" r:id="rId1"/>
    <sheet name="Costs_init" sheetId="1" r:id="rId2"/>
    <sheet name="Client_init" sheetId="5" r:id="rId3"/>
    <sheet name="Costs_final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6" l="1"/>
  <c r="Q4" i="6"/>
  <c r="Q3" i="6"/>
  <c r="P7" i="6"/>
  <c r="P8" i="6" s="1"/>
  <c r="P8" i="1"/>
  <c r="P5" i="1"/>
  <c r="P5" i="6"/>
  <c r="P7" i="1"/>
  <c r="I80" i="6"/>
  <c r="I79" i="6"/>
  <c r="J78" i="6" s="1"/>
  <c r="K78" i="6" s="1"/>
  <c r="K81" i="6" s="1"/>
  <c r="P4" i="6" s="1"/>
  <c r="H65" i="6"/>
  <c r="I65" i="6" s="1"/>
  <c r="H64" i="6"/>
  <c r="I64" i="6" s="1"/>
  <c r="H61" i="6"/>
  <c r="I61" i="6" s="1"/>
  <c r="H59" i="6"/>
  <c r="I59" i="6" s="1"/>
  <c r="H58" i="6"/>
  <c r="I58" i="6" s="1"/>
  <c r="H57" i="6"/>
  <c r="I57" i="6" s="1"/>
  <c r="H56" i="6"/>
  <c r="I56" i="6" s="1"/>
  <c r="H55" i="6"/>
  <c r="I55" i="6" s="1"/>
  <c r="H54" i="6"/>
  <c r="I54" i="6" s="1"/>
  <c r="H53" i="6"/>
  <c r="I53" i="6" s="1"/>
  <c r="H52" i="6"/>
  <c r="I52" i="6" s="1"/>
  <c r="H51" i="6"/>
  <c r="I51" i="6" s="1"/>
  <c r="H50" i="6"/>
  <c r="I50" i="6" s="1"/>
  <c r="H48" i="6"/>
  <c r="I48" i="6" s="1"/>
  <c r="H47" i="6"/>
  <c r="I47" i="6" s="1"/>
  <c r="H45" i="6"/>
  <c r="I45" i="6" s="1"/>
  <c r="H44" i="6"/>
  <c r="I44" i="6" s="1"/>
  <c r="H43" i="6"/>
  <c r="I43" i="6" s="1"/>
  <c r="H42" i="6"/>
  <c r="I42" i="6" s="1"/>
  <c r="H40" i="6"/>
  <c r="I40" i="6" s="1"/>
  <c r="H38" i="6"/>
  <c r="I38" i="6" s="1"/>
  <c r="H37" i="6"/>
  <c r="I37" i="6" s="1"/>
  <c r="H35" i="6"/>
  <c r="I35" i="6" s="1"/>
  <c r="H34" i="6"/>
  <c r="I34" i="6" s="1"/>
  <c r="I33" i="6"/>
  <c r="H33" i="6"/>
  <c r="H32" i="6"/>
  <c r="I32" i="6" s="1"/>
  <c r="H31" i="6"/>
  <c r="I31" i="6" s="1"/>
  <c r="H28" i="6"/>
  <c r="I28" i="6" s="1"/>
  <c r="H26" i="6"/>
  <c r="I26" i="6" s="1"/>
  <c r="R25" i="6"/>
  <c r="R24" i="6"/>
  <c r="H69" i="6" s="1"/>
  <c r="I69" i="6" s="1"/>
  <c r="R23" i="6"/>
  <c r="H68" i="6" s="1"/>
  <c r="I68" i="6" s="1"/>
  <c r="R22" i="6"/>
  <c r="H23" i="6" s="1"/>
  <c r="I23" i="6" s="1"/>
  <c r="I22" i="6"/>
  <c r="H22" i="6"/>
  <c r="R21" i="6"/>
  <c r="H21" i="6"/>
  <c r="I21" i="6" s="1"/>
  <c r="R20" i="6"/>
  <c r="H72" i="6" s="1"/>
  <c r="I72" i="6" s="1"/>
  <c r="H20" i="6"/>
  <c r="I20" i="6" s="1"/>
  <c r="H19" i="6"/>
  <c r="I19" i="6" s="1"/>
  <c r="H18" i="6"/>
  <c r="I18" i="6" s="1"/>
  <c r="H17" i="6"/>
  <c r="I17" i="6" s="1"/>
  <c r="H15" i="6"/>
  <c r="I15" i="6" s="1"/>
  <c r="H14" i="6"/>
  <c r="I14" i="6" s="1"/>
  <c r="H13" i="6"/>
  <c r="I13" i="6" s="1"/>
  <c r="H11" i="6"/>
  <c r="I11" i="6" s="1"/>
  <c r="H10" i="6"/>
  <c r="I10" i="6" s="1"/>
  <c r="P9" i="6"/>
  <c r="H8" i="6"/>
  <c r="I8" i="6" s="1"/>
  <c r="H7" i="6"/>
  <c r="I7" i="6" s="1"/>
  <c r="H6" i="6"/>
  <c r="I6" i="6" s="1"/>
  <c r="H5" i="6"/>
  <c r="I5" i="6" s="1"/>
  <c r="I4" i="6"/>
  <c r="J4" i="6" s="1"/>
  <c r="H4" i="6"/>
  <c r="H3" i="6"/>
  <c r="I3" i="6" s="1"/>
  <c r="P9" i="1"/>
  <c r="I80" i="1"/>
  <c r="I79" i="1"/>
  <c r="J78" i="1"/>
  <c r="K78" i="1" s="1"/>
  <c r="K81" i="1" s="1"/>
  <c r="P4" i="1" s="1"/>
  <c r="H20" i="1"/>
  <c r="I20" i="1" s="1"/>
  <c r="H31" i="1"/>
  <c r="I31" i="1" s="1"/>
  <c r="H33" i="1"/>
  <c r="I33" i="1" s="1"/>
  <c r="J33" i="1" s="1"/>
  <c r="H40" i="1"/>
  <c r="I40" i="1" s="1"/>
  <c r="H43" i="1"/>
  <c r="I43" i="1" s="1"/>
  <c r="H45" i="1"/>
  <c r="I45" i="1" s="1"/>
  <c r="H51" i="1"/>
  <c r="I51" i="1" s="1"/>
  <c r="H61" i="1"/>
  <c r="I61" i="1" s="1"/>
  <c r="H3" i="1"/>
  <c r="I3" i="1" s="1"/>
  <c r="H7" i="1"/>
  <c r="I7" i="1" s="1"/>
  <c r="R25" i="1"/>
  <c r="H47" i="1" s="1"/>
  <c r="I47" i="1" s="1"/>
  <c r="R24" i="1"/>
  <c r="H35" i="1" s="1"/>
  <c r="I35" i="1" s="1"/>
  <c r="J35" i="1" s="1"/>
  <c r="R23" i="1"/>
  <c r="H42" i="1" s="1"/>
  <c r="I42" i="1" s="1"/>
  <c r="J42" i="1" s="1"/>
  <c r="R21" i="1"/>
  <c r="H26" i="1" s="1"/>
  <c r="I26" i="1" s="1"/>
  <c r="J26" i="1" s="1"/>
  <c r="R22" i="1"/>
  <c r="H23" i="1" s="1"/>
  <c r="I23" i="1" s="1"/>
  <c r="J23" i="1" s="1"/>
  <c r="R20" i="1"/>
  <c r="H4" i="1" s="1"/>
  <c r="I4" i="1" s="1"/>
  <c r="J4" i="1" s="1"/>
  <c r="E2" i="2"/>
  <c r="E11" i="2" s="1"/>
  <c r="E3" i="2"/>
  <c r="E4" i="2"/>
  <c r="E5" i="2"/>
  <c r="E6" i="2"/>
  <c r="E7" i="2"/>
  <c r="E8" i="2"/>
  <c r="E9" i="2"/>
  <c r="E10" i="2"/>
  <c r="B11" i="2"/>
  <c r="B15" i="2"/>
  <c r="D15" i="2"/>
  <c r="E15" i="2"/>
  <c r="F15" i="2" s="1"/>
  <c r="B16" i="2"/>
  <c r="B24" i="2" s="1"/>
  <c r="E16" i="2"/>
  <c r="B17" i="2"/>
  <c r="D17" i="2" s="1"/>
  <c r="E17" i="2"/>
  <c r="B18" i="2"/>
  <c r="D18" i="2"/>
  <c r="E18" i="2"/>
  <c r="F18" i="2" s="1"/>
  <c r="B19" i="2"/>
  <c r="D19" i="2" s="1"/>
  <c r="E19" i="2"/>
  <c r="B20" i="2"/>
  <c r="D20" i="2" s="1"/>
  <c r="E20" i="2"/>
  <c r="B21" i="2"/>
  <c r="D21" i="2"/>
  <c r="B87" i="2" s="1"/>
  <c r="E21" i="2"/>
  <c r="F21" i="2" s="1"/>
  <c r="B22" i="2"/>
  <c r="D22" i="2" s="1"/>
  <c r="E22" i="2"/>
  <c r="B23" i="2"/>
  <c r="D23" i="2" s="1"/>
  <c r="E23" i="2"/>
  <c r="C27" i="2"/>
  <c r="C28" i="2"/>
  <c r="C50" i="2" s="1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D53" i="2"/>
  <c r="E53" i="2"/>
  <c r="E61" i="2" s="1"/>
  <c r="D54" i="2"/>
  <c r="E54" i="2"/>
  <c r="D55" i="2"/>
  <c r="E55" i="2"/>
  <c r="D56" i="2"/>
  <c r="E56" i="2" s="1"/>
  <c r="D57" i="2"/>
  <c r="E57" i="2" s="1"/>
  <c r="D58" i="2"/>
  <c r="D61" i="2" s="1"/>
  <c r="E58" i="2"/>
  <c r="D59" i="2"/>
  <c r="E59" i="2"/>
  <c r="D60" i="2"/>
  <c r="E60" i="2"/>
  <c r="B64" i="2"/>
  <c r="E64" i="2"/>
  <c r="B65" i="2"/>
  <c r="D65" i="2" s="1"/>
  <c r="E65" i="2" s="1"/>
  <c r="B66" i="2"/>
  <c r="D66" i="2" s="1"/>
  <c r="E66" i="2" s="1"/>
  <c r="D83" i="2" s="1"/>
  <c r="B67" i="2"/>
  <c r="D67" i="2"/>
  <c r="E67" i="2"/>
  <c r="B68" i="2"/>
  <c r="D68" i="2" s="1"/>
  <c r="E68" i="2" s="1"/>
  <c r="D85" i="2" s="1"/>
  <c r="B69" i="2"/>
  <c r="D69" i="2" s="1"/>
  <c r="E69" i="2" s="1"/>
  <c r="D86" i="2" s="1"/>
  <c r="B70" i="2"/>
  <c r="D70" i="2" s="1"/>
  <c r="E70" i="2" s="1"/>
  <c r="D87" i="2" s="1"/>
  <c r="B71" i="2"/>
  <c r="D71" i="2"/>
  <c r="E71" i="2"/>
  <c r="B72" i="2"/>
  <c r="E72" i="2"/>
  <c r="B76" i="2"/>
  <c r="D81" i="2"/>
  <c r="D84" i="2"/>
  <c r="D88" i="2"/>
  <c r="D89" i="2"/>
  <c r="J69" i="6" l="1"/>
  <c r="J42" i="6"/>
  <c r="J57" i="6"/>
  <c r="J23" i="6"/>
  <c r="J32" i="6"/>
  <c r="J21" i="6"/>
  <c r="J64" i="6"/>
  <c r="J37" i="6"/>
  <c r="J56" i="6"/>
  <c r="J26" i="6"/>
  <c r="J5" i="6"/>
  <c r="J58" i="6"/>
  <c r="J72" i="6"/>
  <c r="J65" i="6"/>
  <c r="J53" i="6"/>
  <c r="J38" i="6"/>
  <c r="J68" i="6"/>
  <c r="J54" i="6"/>
  <c r="J55" i="6"/>
  <c r="J28" i="6"/>
  <c r="J59" i="6"/>
  <c r="J34" i="6"/>
  <c r="J35" i="6"/>
  <c r="J52" i="6"/>
  <c r="H41" i="6"/>
  <c r="I41" i="6" s="1"/>
  <c r="H24" i="6"/>
  <c r="I24" i="6" s="1"/>
  <c r="H67" i="6"/>
  <c r="I67" i="6" s="1"/>
  <c r="H70" i="6"/>
  <c r="I70" i="6" s="1"/>
  <c r="H73" i="6"/>
  <c r="I73" i="6" s="1"/>
  <c r="H27" i="6"/>
  <c r="I27" i="6" s="1"/>
  <c r="H30" i="6"/>
  <c r="I30" i="6" s="1"/>
  <c r="H36" i="6"/>
  <c r="I36" i="6" s="1"/>
  <c r="H39" i="6"/>
  <c r="I39" i="6" s="1"/>
  <c r="H49" i="6"/>
  <c r="I49" i="6" s="1"/>
  <c r="H29" i="6"/>
  <c r="I29" i="6" s="1"/>
  <c r="H12" i="6"/>
  <c r="I12" i="6" s="1"/>
  <c r="H16" i="6"/>
  <c r="I16" i="6" s="1"/>
  <c r="J22" i="6"/>
  <c r="J33" i="6"/>
  <c r="H62" i="6"/>
  <c r="I62" i="6" s="1"/>
  <c r="H71" i="6"/>
  <c r="I71" i="6" s="1"/>
  <c r="H9" i="6"/>
  <c r="I9" i="6" s="1"/>
  <c r="H25" i="6"/>
  <c r="I25" i="6" s="1"/>
  <c r="H46" i="6"/>
  <c r="I46" i="6" s="1"/>
  <c r="H60" i="6"/>
  <c r="I60" i="6" s="1"/>
  <c r="H63" i="6"/>
  <c r="I63" i="6" s="1"/>
  <c r="H66" i="6"/>
  <c r="I66" i="6" s="1"/>
  <c r="H34" i="1"/>
  <c r="I34" i="1" s="1"/>
  <c r="J34" i="1" s="1"/>
  <c r="H69" i="1"/>
  <c r="I69" i="1" s="1"/>
  <c r="J69" i="1" s="1"/>
  <c r="H67" i="1"/>
  <c r="I67" i="1" s="1"/>
  <c r="J67" i="1" s="1"/>
  <c r="H70" i="1"/>
  <c r="I70" i="1" s="1"/>
  <c r="J70" i="1" s="1"/>
  <c r="H64" i="1"/>
  <c r="I64" i="1" s="1"/>
  <c r="J64" i="1" s="1"/>
  <c r="H57" i="1"/>
  <c r="I57" i="1" s="1"/>
  <c r="J57" i="1" s="1"/>
  <c r="H32" i="1"/>
  <c r="I32" i="1" s="1"/>
  <c r="J32" i="1" s="1"/>
  <c r="H56" i="1"/>
  <c r="I56" i="1" s="1"/>
  <c r="J56" i="1" s="1"/>
  <c r="H29" i="1"/>
  <c r="I29" i="1" s="1"/>
  <c r="J29" i="1" s="1"/>
  <c r="H55" i="1"/>
  <c r="I55" i="1" s="1"/>
  <c r="J55" i="1" s="1"/>
  <c r="H22" i="1"/>
  <c r="I22" i="1" s="1"/>
  <c r="J22" i="1" s="1"/>
  <c r="H53" i="1"/>
  <c r="I53" i="1" s="1"/>
  <c r="J53" i="1" s="1"/>
  <c r="H10" i="1"/>
  <c r="I10" i="1" s="1"/>
  <c r="H9" i="1"/>
  <c r="I9" i="1" s="1"/>
  <c r="H52" i="1"/>
  <c r="I52" i="1" s="1"/>
  <c r="J52" i="1" s="1"/>
  <c r="H68" i="1"/>
  <c r="I68" i="1" s="1"/>
  <c r="J68" i="1" s="1"/>
  <c r="H46" i="1"/>
  <c r="I46" i="1" s="1"/>
  <c r="H21" i="1"/>
  <c r="I21" i="1" s="1"/>
  <c r="J21" i="1" s="1"/>
  <c r="H65" i="1"/>
  <c r="I65" i="1" s="1"/>
  <c r="J65" i="1" s="1"/>
  <c r="H44" i="1"/>
  <c r="I44" i="1" s="1"/>
  <c r="H12" i="1"/>
  <c r="I12" i="1" s="1"/>
  <c r="H41" i="1"/>
  <c r="I41" i="1" s="1"/>
  <c r="J41" i="1" s="1"/>
  <c r="H11" i="1"/>
  <c r="I11" i="1" s="1"/>
  <c r="H58" i="1"/>
  <c r="I58" i="1" s="1"/>
  <c r="J58" i="1" s="1"/>
  <c r="H19" i="1"/>
  <c r="I19" i="1" s="1"/>
  <c r="H8" i="1"/>
  <c r="I8" i="1" s="1"/>
  <c r="H66" i="1"/>
  <c r="I66" i="1" s="1"/>
  <c r="J66" i="1" s="1"/>
  <c r="H54" i="1"/>
  <c r="I54" i="1" s="1"/>
  <c r="J54" i="1" s="1"/>
  <c r="H30" i="1"/>
  <c r="I30" i="1" s="1"/>
  <c r="J30" i="1" s="1"/>
  <c r="H18" i="1"/>
  <c r="I18" i="1" s="1"/>
  <c r="H5" i="1"/>
  <c r="I5" i="1" s="1"/>
  <c r="J5" i="1" s="1"/>
  <c r="H63" i="1"/>
  <c r="I63" i="1" s="1"/>
  <c r="J63" i="1" s="1"/>
  <c r="H39" i="1"/>
  <c r="I39" i="1" s="1"/>
  <c r="J39" i="1" s="1"/>
  <c r="K39" i="1" s="1"/>
  <c r="H27" i="1"/>
  <c r="I27" i="1" s="1"/>
  <c r="J27" i="1" s="1"/>
  <c r="H15" i="1"/>
  <c r="I15" i="1" s="1"/>
  <c r="H62" i="1"/>
  <c r="I62" i="1" s="1"/>
  <c r="J62" i="1" s="1"/>
  <c r="H50" i="1"/>
  <c r="I50" i="1" s="1"/>
  <c r="H38" i="1"/>
  <c r="I38" i="1" s="1"/>
  <c r="J38" i="1" s="1"/>
  <c r="H14" i="1"/>
  <c r="I14" i="1" s="1"/>
  <c r="H6" i="1"/>
  <c r="I6" i="1" s="1"/>
  <c r="H16" i="1"/>
  <c r="I16" i="1" s="1"/>
  <c r="H73" i="1"/>
  <c r="I73" i="1" s="1"/>
  <c r="J73" i="1" s="1"/>
  <c r="H49" i="1"/>
  <c r="I49" i="1" s="1"/>
  <c r="H37" i="1"/>
  <c r="I37" i="1" s="1"/>
  <c r="J37" i="1" s="1"/>
  <c r="H25" i="1"/>
  <c r="I25" i="1" s="1"/>
  <c r="J25" i="1" s="1"/>
  <c r="H13" i="1"/>
  <c r="I13" i="1" s="1"/>
  <c r="H72" i="1"/>
  <c r="I72" i="1" s="1"/>
  <c r="J72" i="1" s="1"/>
  <c r="H60" i="1"/>
  <c r="I60" i="1" s="1"/>
  <c r="J60" i="1" s="1"/>
  <c r="H48" i="1"/>
  <c r="I48" i="1" s="1"/>
  <c r="H36" i="1"/>
  <c r="I36" i="1" s="1"/>
  <c r="J36" i="1" s="1"/>
  <c r="H24" i="1"/>
  <c r="I24" i="1" s="1"/>
  <c r="J24" i="1" s="1"/>
  <c r="H17" i="1"/>
  <c r="I17" i="1" s="1"/>
  <c r="H28" i="1"/>
  <c r="I28" i="1" s="1"/>
  <c r="J28" i="1" s="1"/>
  <c r="H71" i="1"/>
  <c r="I71" i="1" s="1"/>
  <c r="J71" i="1" s="1"/>
  <c r="H59" i="1"/>
  <c r="I59" i="1" s="1"/>
  <c r="J59" i="1" s="1"/>
  <c r="E73" i="2"/>
  <c r="D82" i="2"/>
  <c r="B85" i="2"/>
  <c r="B89" i="2"/>
  <c r="B86" i="2"/>
  <c r="B83" i="2"/>
  <c r="B88" i="2"/>
  <c r="D90" i="2"/>
  <c r="F22" i="2"/>
  <c r="F19" i="2"/>
  <c r="F16" i="2"/>
  <c r="F24" i="2" s="1"/>
  <c r="B75" i="2" s="1"/>
  <c r="B84" i="2"/>
  <c r="D16" i="2"/>
  <c r="B81" i="2"/>
  <c r="F23" i="2"/>
  <c r="F20" i="2"/>
  <c r="F17" i="2"/>
  <c r="J62" i="6" l="1"/>
  <c r="J25" i="6"/>
  <c r="J73" i="6"/>
  <c r="K31" i="6"/>
  <c r="J30" i="6"/>
  <c r="J70" i="6"/>
  <c r="J24" i="6"/>
  <c r="J66" i="6"/>
  <c r="J29" i="6"/>
  <c r="K51" i="6"/>
  <c r="J27" i="6"/>
  <c r="J41" i="6"/>
  <c r="J36" i="6"/>
  <c r="J71" i="6"/>
  <c r="J67" i="6"/>
  <c r="J6" i="6"/>
  <c r="K3" i="6" s="1"/>
  <c r="J63" i="6"/>
  <c r="J60" i="6"/>
  <c r="J39" i="6"/>
  <c r="K39" i="6" s="1"/>
  <c r="J43" i="6"/>
  <c r="J43" i="1"/>
  <c r="K61" i="1"/>
  <c r="K51" i="1"/>
  <c r="K40" i="1"/>
  <c r="K31" i="1"/>
  <c r="K20" i="1"/>
  <c r="J6" i="1"/>
  <c r="K3" i="2"/>
  <c r="B77" i="2"/>
  <c r="F82" i="2"/>
  <c r="B82" i="2"/>
  <c r="D24" i="2"/>
  <c r="K2" i="2" s="1"/>
  <c r="K4" i="2" s="1"/>
  <c r="K20" i="6" l="1"/>
  <c r="K61" i="6"/>
  <c r="K40" i="6"/>
  <c r="K74" i="6" s="1"/>
  <c r="P3" i="6" s="1"/>
  <c r="K3" i="1"/>
  <c r="K5" i="2"/>
  <c r="K6" i="2"/>
  <c r="F87" i="2"/>
  <c r="B78" i="2"/>
  <c r="F88" i="2"/>
  <c r="F86" i="2"/>
  <c r="F84" i="2"/>
  <c r="F83" i="2"/>
  <c r="F89" i="2"/>
  <c r="F85" i="2"/>
  <c r="C85" i="2" l="1"/>
  <c r="E85" i="2" s="1"/>
  <c r="C84" i="2"/>
  <c r="E84" i="2" s="1"/>
  <c r="F81" i="2"/>
  <c r="C83" i="2"/>
  <c r="E83" i="2" s="1"/>
  <c r="C89" i="2"/>
  <c r="E89" i="2" s="1"/>
  <c r="C86" i="2"/>
  <c r="E86" i="2" s="1"/>
  <c r="C87" i="2"/>
  <c r="E87" i="2" s="1"/>
  <c r="C81" i="2"/>
  <c r="E81" i="2" s="1"/>
  <c r="C88" i="2"/>
  <c r="E88" i="2" s="1"/>
  <c r="C82" i="2"/>
  <c r="E82" i="2" s="1"/>
  <c r="E90" i="2" l="1"/>
  <c r="K7" i="2" s="1"/>
  <c r="K8" i="2" s="1"/>
  <c r="K74" i="1" l="1"/>
  <c r="P3" i="1" s="1"/>
  <c r="P10" i="6"/>
  <c r="L4" i="6" s="1"/>
  <c r="L23" i="6" l="1"/>
  <c r="L42" i="6"/>
  <c r="L58" i="6"/>
  <c r="L64" i="6"/>
  <c r="L35" i="6"/>
  <c r="L19" i="6"/>
  <c r="L41" i="6"/>
  <c r="L22" i="6"/>
  <c r="L5" i="6"/>
  <c r="L69" i="6"/>
  <c r="L62" i="6"/>
  <c r="L24" i="6"/>
  <c r="L13" i="6"/>
  <c r="L61" i="6"/>
  <c r="L45" i="6"/>
  <c r="L47" i="6"/>
  <c r="L28" i="6"/>
  <c r="L39" i="6"/>
  <c r="L43" i="6"/>
  <c r="L27" i="6"/>
  <c r="L57" i="6"/>
  <c r="L26" i="6"/>
  <c r="L70" i="6"/>
  <c r="L7" i="6"/>
  <c r="L37" i="6"/>
  <c r="L11" i="6"/>
  <c r="L38" i="6"/>
  <c r="L31" i="6"/>
  <c r="L12" i="6"/>
  <c r="L33" i="6"/>
  <c r="L20" i="6"/>
  <c r="L29" i="6"/>
  <c r="L50" i="6"/>
  <c r="L63" i="6"/>
  <c r="L52" i="6"/>
  <c r="L21" i="6"/>
  <c r="L32" i="6"/>
  <c r="L49" i="6"/>
  <c r="L30" i="6"/>
  <c r="L17" i="6"/>
  <c r="L25" i="6"/>
  <c r="L36" i="6"/>
  <c r="L46" i="6"/>
  <c r="L16" i="6"/>
  <c r="L68" i="6"/>
  <c r="L18" i="6"/>
  <c r="L66" i="6"/>
  <c r="L54" i="6"/>
  <c r="L55" i="6"/>
  <c r="L72" i="6"/>
  <c r="L34" i="6"/>
  <c r="L59" i="6"/>
  <c r="L65" i="6"/>
  <c r="L48" i="6"/>
  <c r="L8" i="6"/>
  <c r="L56" i="6"/>
  <c r="L15" i="6"/>
  <c r="L60" i="6"/>
  <c r="L44" i="6"/>
  <c r="L67" i="6"/>
  <c r="L53" i="6"/>
  <c r="L14" i="6"/>
  <c r="L51" i="6"/>
  <c r="L40" i="6"/>
  <c r="L10" i="6"/>
  <c r="L71" i="6"/>
  <c r="L9" i="6"/>
  <c r="L3" i="6"/>
  <c r="L73" i="6"/>
  <c r="L74" i="6" l="1"/>
  <c r="P10" i="1" l="1"/>
  <c r="L62" i="1" s="1"/>
  <c r="D42" i="5" s="1"/>
  <c r="L47" i="1" l="1"/>
  <c r="L13" i="1"/>
  <c r="L53" i="1"/>
  <c r="D33" i="5" s="1"/>
  <c r="L10" i="1"/>
  <c r="L19" i="1"/>
  <c r="L57" i="1"/>
  <c r="D37" i="5" s="1"/>
  <c r="L59" i="1"/>
  <c r="D39" i="5" s="1"/>
  <c r="L5" i="1"/>
  <c r="D5" i="5" s="1"/>
  <c r="L3" i="1"/>
  <c r="L39" i="1"/>
  <c r="D26" i="5" s="1"/>
  <c r="E26" i="5" s="1"/>
  <c r="L7" i="1"/>
  <c r="L12" i="1"/>
  <c r="L56" i="1"/>
  <c r="D36" i="5" s="1"/>
  <c r="L28" i="1"/>
  <c r="D15" i="5" s="1"/>
  <c r="L15" i="1"/>
  <c r="L41" i="1"/>
  <c r="D28" i="5" s="1"/>
  <c r="L30" i="1"/>
  <c r="D17" i="5" s="1"/>
  <c r="L8" i="1"/>
  <c r="L60" i="1"/>
  <c r="D40" i="5" s="1"/>
  <c r="L14" i="1"/>
  <c r="L64" i="1"/>
  <c r="D44" i="5" s="1"/>
  <c r="L48" i="1"/>
  <c r="L36" i="1"/>
  <c r="D23" i="5" s="1"/>
  <c r="L4" i="1"/>
  <c r="D4" i="5" s="1"/>
  <c r="L52" i="1"/>
  <c r="D32" i="5" s="1"/>
  <c r="L17" i="1"/>
  <c r="L25" i="1"/>
  <c r="D12" i="5" s="1"/>
  <c r="L44" i="1"/>
  <c r="L55" i="1"/>
  <c r="D35" i="5" s="1"/>
  <c r="L58" i="1"/>
  <c r="D38" i="5" s="1"/>
  <c r="L38" i="1"/>
  <c r="D25" i="5" s="1"/>
  <c r="L49" i="1"/>
  <c r="L45" i="1"/>
  <c r="L29" i="1"/>
  <c r="D16" i="5" s="1"/>
  <c r="L34" i="1"/>
  <c r="D21" i="5" s="1"/>
  <c r="L31" i="1"/>
  <c r="D18" i="5" s="1"/>
  <c r="L27" i="1"/>
  <c r="D14" i="5" s="1"/>
  <c r="L42" i="1"/>
  <c r="D29" i="5" s="1"/>
  <c r="L51" i="1"/>
  <c r="L68" i="1"/>
  <c r="D48" i="5" s="1"/>
  <c r="L21" i="1"/>
  <c r="D8" i="5" s="1"/>
  <c r="L40" i="1"/>
  <c r="D27" i="5" s="1"/>
  <c r="L37" i="1"/>
  <c r="D24" i="5" s="1"/>
  <c r="L63" i="1"/>
  <c r="D43" i="5" s="1"/>
  <c r="L43" i="1"/>
  <c r="L69" i="1"/>
  <c r="D49" i="5" s="1"/>
  <c r="L73" i="1"/>
  <c r="D53" i="5" s="1"/>
  <c r="L32" i="1"/>
  <c r="D19" i="5" s="1"/>
  <c r="E18" i="5" s="1"/>
  <c r="L24" i="1"/>
  <c r="D11" i="5" s="1"/>
  <c r="L9" i="1"/>
  <c r="L71" i="1"/>
  <c r="D51" i="5" s="1"/>
  <c r="L54" i="1"/>
  <c r="D34" i="5" s="1"/>
  <c r="L18" i="1"/>
  <c r="L50" i="1"/>
  <c r="L20" i="1"/>
  <c r="L26" i="1"/>
  <c r="D13" i="5" s="1"/>
  <c r="L65" i="1"/>
  <c r="D45" i="5" s="1"/>
  <c r="L23" i="1"/>
  <c r="D10" i="5" s="1"/>
  <c r="L33" i="1"/>
  <c r="D20" i="5" s="1"/>
  <c r="L35" i="1"/>
  <c r="D22" i="5" s="1"/>
  <c r="L67" i="1"/>
  <c r="D47" i="5" s="1"/>
  <c r="L22" i="1"/>
  <c r="D9" i="5" s="1"/>
  <c r="L16" i="1"/>
  <c r="L61" i="1"/>
  <c r="D41" i="5" s="1"/>
  <c r="L66" i="1"/>
  <c r="D46" i="5" s="1"/>
  <c r="L11" i="1"/>
  <c r="L46" i="1"/>
  <c r="L72" i="1"/>
  <c r="D52" i="5" s="1"/>
  <c r="L70" i="1"/>
  <c r="D50" i="5" s="1"/>
  <c r="E41" i="5" l="1"/>
  <c r="E31" i="5"/>
  <c r="E7" i="5"/>
  <c r="D30" i="5"/>
  <c r="E27" i="5"/>
  <c r="D6" i="5"/>
  <c r="E3" i="5" s="1"/>
  <c r="E54" i="5" s="1"/>
  <c r="I3" i="5" s="1"/>
  <c r="I4" i="5" s="1"/>
  <c r="L74" i="1"/>
</calcChain>
</file>

<file path=xl/sharedStrings.xml><?xml version="1.0" encoding="utf-8"?>
<sst xmlns="http://schemas.openxmlformats.org/spreadsheetml/2006/main" count="897" uniqueCount="217">
  <si>
    <t>I1</t>
  </si>
  <si>
    <t>I2</t>
  </si>
  <si>
    <t>I3</t>
  </si>
  <si>
    <t>Subtotal</t>
  </si>
  <si>
    <t>Total</t>
  </si>
  <si>
    <t>Subtotal (2)</t>
  </si>
  <si>
    <t>01</t>
  </si>
  <si>
    <t>001</t>
  </si>
  <si>
    <t>02</t>
  </si>
  <si>
    <t>03</t>
  </si>
  <si>
    <t>04</t>
  </si>
  <si>
    <t>05</t>
  </si>
  <si>
    <t>06</t>
  </si>
  <si>
    <t>002</t>
  </si>
  <si>
    <t>003</t>
  </si>
  <si>
    <t>Description</t>
  </si>
  <si>
    <t>Cuantity</t>
  </si>
  <si>
    <t>Units</t>
  </si>
  <si>
    <t>Price</t>
  </si>
  <si>
    <t>Resource</t>
  </si>
  <si>
    <t>Project management</t>
  </si>
  <si>
    <t xml:space="preserve">   Design project schedule</t>
  </si>
  <si>
    <t xml:space="preserve">   Generate budget</t>
  </si>
  <si>
    <t xml:space="preserve">   Periodic project management</t>
  </si>
  <si>
    <t xml:space="preserve">      Periodic project management 1</t>
  </si>
  <si>
    <t xml:space="preserve">      Periodic project management 2</t>
  </si>
  <si>
    <t xml:space="preserve">      Periodic project management 3</t>
  </si>
  <si>
    <t xml:space="preserve">      Periodic project management 4</t>
  </si>
  <si>
    <t xml:space="preserve">      Periodic project management 5</t>
  </si>
  <si>
    <t xml:space="preserve">      Periodic project management 6</t>
  </si>
  <si>
    <t xml:space="preserve">      Periodic project management 7</t>
  </si>
  <si>
    <t xml:space="preserve">      Periodic project management 8</t>
  </si>
  <si>
    <t xml:space="preserve">      Periodic project management 9</t>
  </si>
  <si>
    <t xml:space="preserve">      Periodic project management 10</t>
  </si>
  <si>
    <t xml:space="preserve">      Periodic project management 11</t>
  </si>
  <si>
    <t xml:space="preserve">      Periodic project management 12</t>
  </si>
  <si>
    <t xml:space="preserve">      Periodic project management 13</t>
  </si>
  <si>
    <t>Analysis/Software Requirements</t>
  </si>
  <si>
    <t xml:space="preserve">   Determine project scope</t>
  </si>
  <si>
    <t xml:space="preserve">   Review Regulatory Standards</t>
  </si>
  <si>
    <t xml:space="preserve">   Identify required Documentation</t>
  </si>
  <si>
    <t xml:space="preserve">   Determine hand-ins for the project</t>
  </si>
  <si>
    <t xml:space="preserve">   Adapt project template to typst</t>
  </si>
  <si>
    <t xml:space="preserve">   Analyze existing systems</t>
  </si>
  <si>
    <t xml:space="preserve">   Draft preliminary software requirements</t>
  </si>
  <si>
    <t xml:space="preserve">   Model auxiliary diagrams</t>
  </si>
  <si>
    <t xml:space="preserve">   Review software requirements</t>
  </si>
  <si>
    <t xml:space="preserve">   Modify requirements with feedback</t>
  </si>
  <si>
    <t>Design</t>
  </si>
  <si>
    <t xml:space="preserve">   Design architecture</t>
  </si>
  <si>
    <t xml:space="preserve">   Design brand identity</t>
  </si>
  <si>
    <t xml:space="preserve">   Design project management</t>
  </si>
  <si>
    <t xml:space="preserve">   Design stakeholder management</t>
  </si>
  <si>
    <t xml:space="preserve">   Design requirement management</t>
  </si>
  <si>
    <t xml:space="preserve">   Design user management</t>
  </si>
  <si>
    <t>Set up SonarQube for Quality Assurance</t>
  </si>
  <si>
    <t>Development</t>
  </si>
  <si>
    <t xml:space="preserve">   Set up architecture</t>
  </si>
  <si>
    <t xml:space="preserve">   Set up development enviroment</t>
  </si>
  <si>
    <t xml:space="preserve">   Develop code</t>
  </si>
  <si>
    <t xml:space="preserve">      Develop project management module</t>
  </si>
  <si>
    <t xml:space="preserve">      Develop stakeholder management module</t>
  </si>
  <si>
    <t xml:space="preserve">      Develop requirement management module</t>
  </si>
  <si>
    <t xml:space="preserve">      Develop user management module</t>
  </si>
  <si>
    <t xml:space="preserve">      Develop modifying concurrency system</t>
  </si>
  <si>
    <t xml:space="preserve">      Develop search and filtering</t>
  </si>
  <si>
    <t>Testing</t>
  </si>
  <si>
    <t xml:space="preserve">   Test project management module</t>
  </si>
  <si>
    <t xml:space="preserve">   Test stakeholder management module</t>
  </si>
  <si>
    <t xml:space="preserve">   Test requirement management module</t>
  </si>
  <si>
    <t xml:space="preserve">   Test user management module</t>
  </si>
  <si>
    <t xml:space="preserve">   Test modifying concurrency system</t>
  </si>
  <si>
    <t xml:space="preserve">   Test search and filtering</t>
  </si>
  <si>
    <t xml:space="preserve">   Load testing</t>
  </si>
  <si>
    <t>Documentation</t>
  </si>
  <si>
    <t xml:space="preserve">   Document declaration of originality, abstract and keywords</t>
  </si>
  <si>
    <t xml:space="preserve">   Document introduction</t>
  </si>
  <si>
    <t xml:space="preserve">   Document theoretical background</t>
  </si>
  <si>
    <t xml:space="preserve">   Document feasibility study and alternative analysis</t>
  </si>
  <si>
    <t xml:space="preserve">   Document Initial project planning and management</t>
  </si>
  <si>
    <t xml:space="preserve">   Document system analysis</t>
  </si>
  <si>
    <t xml:space="preserve">   Document system design</t>
  </si>
  <si>
    <t xml:space="preserve">   Document system implementation</t>
  </si>
  <si>
    <t xml:space="preserve">   Document test plan execution</t>
  </si>
  <si>
    <t xml:space="preserve">   Document system manuals</t>
  </si>
  <si>
    <t xml:space="preserve">   Document final project closure</t>
  </si>
  <si>
    <t xml:space="preserve">   Document conclusions and future work</t>
  </si>
  <si>
    <t>07</t>
  </si>
  <si>
    <t>08</t>
  </si>
  <si>
    <t>09</t>
  </si>
  <si>
    <t>10</t>
  </si>
  <si>
    <t>11</t>
  </si>
  <si>
    <t>12</t>
  </si>
  <si>
    <t>13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</si>
  <si>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</si>
  <si>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</si>
  <si>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</si>
  <si>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</si>
  <si>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</si>
  <si>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</si>
  <si>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</si>
  <si>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</si>
  <si>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</si>
  <si>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Hours</t>
  </si>
  <si>
    <t>Project manager</t>
  </si>
  <si>
    <t>Available resources</t>
  </si>
  <si>
    <t>System Analyst</t>
  </si>
  <si>
    <t>Technology consultant</t>
  </si>
  <si>
    <t>Software architect</t>
  </si>
  <si>
    <t>Senior software engineer</t>
  </si>
  <si>
    <t>Junior software engineer</t>
  </si>
  <si>
    <t>TOTAL</t>
  </si>
  <si>
    <t>Prod(%)</t>
  </si>
  <si>
    <t>val</t>
  </si>
  <si>
    <t>Nº</t>
  </si>
  <si>
    <t>total</t>
  </si>
  <si>
    <t>Num</t>
  </si>
  <si>
    <t>Personnel</t>
  </si>
  <si>
    <t>General manager</t>
  </si>
  <si>
    <t>Service coordinator</t>
  </si>
  <si>
    <t>Systems analyst</t>
  </si>
  <si>
    <t>Senior developer</t>
  </si>
  <si>
    <t>Junior developer</t>
  </si>
  <si>
    <t>Sales representative</t>
  </si>
  <si>
    <t>Gross annual salary</t>
  </si>
  <si>
    <t>annual employment cost</t>
  </si>
  <si>
    <t>Concept</t>
  </si>
  <si>
    <t>Amount</t>
  </si>
  <si>
    <t>Total direct costs</t>
  </si>
  <si>
    <t>Total indirect cotsts</t>
  </si>
  <si>
    <t>Sum of direct and indirect costs</t>
  </si>
  <si>
    <t>Desired profit</t>
  </si>
  <si>
    <t>Required billing/revenue</t>
  </si>
  <si>
    <t>Possible billing based on productive hours and calculated hourly rates</t>
  </si>
  <si>
    <t>Margin between total cost and billing</t>
  </si>
  <si>
    <t>Direct cost</t>
  </si>
  <si>
    <t>IC  (%)</t>
  </si>
  <si>
    <t>Indirect cost</t>
  </si>
  <si>
    <t>Service</t>
  </si>
  <si>
    <t>Monthly cost</t>
  </si>
  <si>
    <t>Annual cost</t>
  </si>
  <si>
    <t>Cleaning</t>
  </si>
  <si>
    <t>Advertising</t>
  </si>
  <si>
    <t>Accounting services</t>
  </si>
  <si>
    <t>Quality control</t>
  </si>
  <si>
    <t>Taxes and fees</t>
  </si>
  <si>
    <t>Rent / lease</t>
  </si>
  <si>
    <t>Vehicle leasing fees</t>
  </si>
  <si>
    <t>Maintenance, repair and upkeep</t>
  </si>
  <si>
    <t>Small tools and equipment</t>
  </si>
  <si>
    <t>Electricity consumption</t>
  </si>
  <si>
    <t>Heating energy consumption</t>
  </si>
  <si>
    <t>Water consumption</t>
  </si>
  <si>
    <t>Consulting, auditing and professional fees</t>
  </si>
  <si>
    <t>Insurance premiums</t>
  </si>
  <si>
    <t>Freight and transportation costs</t>
  </si>
  <si>
    <t>Communications expenses</t>
  </si>
  <si>
    <t>Travel, subsistence and accomodation expenses for non productive staff</t>
  </si>
  <si>
    <t>Advertising and public relations expenses</t>
  </si>
  <si>
    <t>Office supplies</t>
  </si>
  <si>
    <t>Postal and courier expenses</t>
  </si>
  <si>
    <t>Professional and business publication subscriptions</t>
  </si>
  <si>
    <t>Financial expenses</t>
  </si>
  <si>
    <t>Depreciation expense of fixed assets</t>
  </si>
  <si>
    <t>Equipment/licenses</t>
  </si>
  <si>
    <t>Total cost</t>
  </si>
  <si>
    <t>Type</t>
  </si>
  <si>
    <t>Term</t>
  </si>
  <si>
    <t>Rental</t>
  </si>
  <si>
    <t>Depreciation</t>
  </si>
  <si>
    <t>Azure data center</t>
  </si>
  <si>
    <t>Administrative equipment</t>
  </si>
  <si>
    <t>Development equipment</t>
  </si>
  <si>
    <t>Laptops</t>
  </si>
  <si>
    <t>Development licenses</t>
  </si>
  <si>
    <t>Apple developer program annual fee</t>
  </si>
  <si>
    <t>Google play console registration</t>
  </si>
  <si>
    <t>Collaboration tools</t>
  </si>
  <si>
    <t>Hours / year</t>
  </si>
  <si>
    <t>Productive hours per year (per person)</t>
  </si>
  <si>
    <t>Total productive hours</t>
  </si>
  <si>
    <t>Indirect costs</t>
  </si>
  <si>
    <t>Productive employees</t>
  </si>
  <si>
    <t>Indirect costs per productive employee</t>
  </si>
  <si>
    <t>Indirect costs including profit</t>
  </si>
  <si>
    <t>Direct cost / hour</t>
  </si>
  <si>
    <t>Hourly rate (with profit)</t>
  </si>
  <si>
    <t>Productive hours</t>
  </si>
  <si>
    <t>Revenue</t>
  </si>
  <si>
    <t>Hourly rate (without profit)</t>
  </si>
  <si>
    <t>Hourly  rate (without profit)</t>
  </si>
  <si>
    <t>Category 1: IrBoard development costs breakdown</t>
  </si>
  <si>
    <t>Category 2: Other</t>
  </si>
  <si>
    <t xml:space="preserve">   Usability and accesibility testing</t>
  </si>
  <si>
    <t xml:space="preserve">   Design document management </t>
  </si>
  <si>
    <t xml:space="preserve">      Develop document management </t>
  </si>
  <si>
    <t xml:space="preserve">   Test document management  </t>
  </si>
  <si>
    <t>Travel and transportation expenses</t>
  </si>
  <si>
    <t>Travel to client facilities (deployment/support)</t>
  </si>
  <si>
    <t>Meals/daily allowance</t>
  </si>
  <si>
    <t>-</t>
  </si>
  <si>
    <t>km</t>
  </si>
  <si>
    <t>meals</t>
  </si>
  <si>
    <t>IrBoard costs</t>
  </si>
  <si>
    <t>Category</t>
  </si>
  <si>
    <t>Cat. Num</t>
  </si>
  <si>
    <t>IrBoard development costs breakdown</t>
  </si>
  <si>
    <t>Other</t>
  </si>
  <si>
    <t>Profit (25%)</t>
  </si>
  <si>
    <t>Simplified client budget</t>
  </si>
  <si>
    <t>Detailed client budget</t>
  </si>
  <si>
    <t>amount to be increased on the first category</t>
  </si>
  <si>
    <t>Cost</t>
  </si>
  <si>
    <t>with proportional increase</t>
  </si>
  <si>
    <t>total hours</t>
  </si>
  <si>
    <t>Dilution increase per billable hour</t>
  </si>
  <si>
    <t>deviation from 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</si>
</sst>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\ &quot;€&quot;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0" fontId="3" fillId="0" borderId="0" xfId="0" applyFont="1" applyAlignment="1">
      <alignment wrapText="1"/>
    </xf>
    <xf numFmtId="0" fontId="3" fillId="0" borderId="0" xfId="0" applyFont="1"/>
    <xf numFmtId="49" fontId="0" fillId="0" borderId="11" xfId="0" applyNumberFormat="1" applyBorder="1"/>
    <xf numFmtId="49" fontId="0" fillId="0" borderId="0" xfId="0" applyNumberFormat="1"/>
    <xf numFmtId="0" fontId="2" fillId="0" borderId="0" xfId="0" applyFont="1" applyAlignment="1">
      <alignment wrapText="1"/>
    </xf>
    <xf numFmtId="49" fontId="0" fillId="0" borderId="13" xfId="0" applyNumberFormat="1" applyBorder="1"/>
    <xf numFmtId="49" fontId="0" fillId="0" borderId="14" xfId="0" applyNumberFormat="1" applyBorder="1"/>
    <xf numFmtId="0" fontId="0" fillId="0" borderId="14" xfId="0" applyBorder="1" applyAlignment="1">
      <alignment wrapText="1"/>
    </xf>
    <xf numFmtId="0" fontId="0" fillId="0" borderId="14" xfId="0" applyBorder="1"/>
    <xf numFmtId="0" fontId="2" fillId="0" borderId="17" xfId="0" applyFont="1" applyBorder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3" fillId="2" borderId="16" xfId="0" applyFont="1" applyFill="1" applyBorder="1"/>
    <xf numFmtId="44" fontId="5" fillId="2" borderId="20" xfId="0" applyNumberFormat="1" applyFont="1" applyFill="1" applyBorder="1"/>
    <xf numFmtId="0" fontId="5" fillId="2" borderId="20" xfId="0" applyFont="1" applyFill="1" applyBorder="1"/>
    <xf numFmtId="0" fontId="5" fillId="2" borderId="21" xfId="0" applyFont="1" applyFill="1" applyBorder="1" applyAlignment="1">
      <alignment wrapText="1"/>
    </xf>
    <xf numFmtId="44" fontId="3" fillId="0" borderId="6" xfId="1" applyFont="1" applyBorder="1"/>
    <xf numFmtId="44" fontId="3" fillId="0" borderId="20" xfId="0" applyNumberFormat="1" applyFont="1" applyBorder="1"/>
    <xf numFmtId="0" fontId="3" fillId="0" borderId="20" xfId="0" applyFont="1" applyBorder="1"/>
    <xf numFmtId="44" fontId="3" fillId="0" borderId="20" xfId="1" applyFont="1" applyFill="1" applyBorder="1"/>
    <xf numFmtId="0" fontId="3" fillId="0" borderId="21" xfId="0" applyFont="1" applyBorder="1" applyAlignment="1">
      <alignment wrapText="1"/>
    </xf>
    <xf numFmtId="44" fontId="3" fillId="2" borderId="6" xfId="1" applyFont="1" applyFill="1" applyBorder="1"/>
    <xf numFmtId="44" fontId="3" fillId="2" borderId="0" xfId="0" applyNumberFormat="1" applyFont="1" applyFill="1"/>
    <xf numFmtId="0" fontId="3" fillId="2" borderId="0" xfId="0" applyFont="1" applyFill="1"/>
    <xf numFmtId="44" fontId="3" fillId="2" borderId="0" xfId="1" applyFont="1" applyFill="1" applyBorder="1"/>
    <xf numFmtId="0" fontId="3" fillId="2" borderId="5" xfId="0" applyFont="1" applyFill="1" applyBorder="1" applyAlignment="1">
      <alignment wrapText="1"/>
    </xf>
    <xf numFmtId="44" fontId="3" fillId="0" borderId="0" xfId="0" applyNumberFormat="1" applyFont="1"/>
    <xf numFmtId="44" fontId="3" fillId="0" borderId="0" xfId="1" applyFont="1" applyFill="1" applyBorder="1"/>
    <xf numFmtId="0" fontId="3" fillId="0" borderId="5" xfId="0" applyFont="1" applyBorder="1" applyAlignment="1">
      <alignment wrapText="1"/>
    </xf>
    <xf numFmtId="0" fontId="5" fillId="2" borderId="22" xfId="0" applyFont="1" applyFill="1" applyBorder="1" applyAlignment="1">
      <alignment horizontal="center" wrapText="1"/>
    </xf>
    <xf numFmtId="0" fontId="5" fillId="2" borderId="23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 wrapText="1"/>
    </xf>
    <xf numFmtId="0" fontId="5" fillId="2" borderId="24" xfId="0" applyFont="1" applyFill="1" applyBorder="1" applyAlignment="1">
      <alignment horizontal="center" wrapText="1"/>
    </xf>
    <xf numFmtId="44" fontId="3" fillId="2" borderId="25" xfId="0" applyNumberFormat="1" applyFont="1" applyFill="1" applyBorder="1"/>
    <xf numFmtId="0" fontId="3" fillId="2" borderId="21" xfId="0" applyFont="1" applyFill="1" applyBorder="1" applyAlignment="1">
      <alignment wrapText="1"/>
    </xf>
    <xf numFmtId="44" fontId="3" fillId="0" borderId="6" xfId="0" applyNumberFormat="1" applyFont="1" applyBorder="1"/>
    <xf numFmtId="0" fontId="3" fillId="2" borderId="6" xfId="0" applyFont="1" applyFill="1" applyBorder="1"/>
    <xf numFmtId="44" fontId="3" fillId="0" borderId="22" xfId="0" applyNumberFormat="1" applyFont="1" applyBorder="1"/>
    <xf numFmtId="0" fontId="3" fillId="0" borderId="24" xfId="0" applyFont="1" applyBorder="1" applyAlignment="1">
      <alignment wrapText="1"/>
    </xf>
    <xf numFmtId="0" fontId="5" fillId="0" borderId="25" xfId="0" applyFont="1" applyBorder="1" applyAlignment="1">
      <alignment wrapText="1"/>
    </xf>
    <xf numFmtId="0" fontId="5" fillId="0" borderId="20" xfId="0" applyFont="1" applyBorder="1" applyAlignment="1">
      <alignment wrapText="1"/>
    </xf>
    <xf numFmtId="0" fontId="3" fillId="0" borderId="20" xfId="0" applyFont="1" applyBorder="1" applyAlignment="1">
      <alignment wrapText="1"/>
    </xf>
    <xf numFmtId="0" fontId="5" fillId="0" borderId="21" xfId="0" applyFont="1" applyBorder="1" applyAlignment="1">
      <alignment wrapText="1"/>
    </xf>
    <xf numFmtId="0" fontId="3" fillId="2" borderId="25" xfId="0" applyFont="1" applyFill="1" applyBorder="1" applyAlignment="1">
      <alignment wrapText="1"/>
    </xf>
    <xf numFmtId="0" fontId="3" fillId="2" borderId="20" xfId="0" applyFont="1" applyFill="1" applyBorder="1" applyAlignment="1">
      <alignment wrapText="1"/>
    </xf>
    <xf numFmtId="10" fontId="3" fillId="2" borderId="20" xfId="0" applyNumberFormat="1" applyFont="1" applyFill="1" applyBorder="1" applyAlignment="1">
      <alignment wrapText="1"/>
    </xf>
    <xf numFmtId="0" fontId="3" fillId="0" borderId="6" xfId="0" applyFont="1" applyBorder="1" applyAlignment="1">
      <alignment wrapText="1"/>
    </xf>
    <xf numFmtId="0" fontId="6" fillId="0" borderId="0" xfId="0" applyFont="1" applyAlignment="1">
      <alignment wrapText="1"/>
    </xf>
    <xf numFmtId="10" fontId="3" fillId="0" borderId="0" xfId="0" applyNumberFormat="1" applyFont="1" applyAlignment="1">
      <alignment wrapText="1"/>
    </xf>
    <xf numFmtId="0" fontId="3" fillId="2" borderId="6" xfId="0" applyFont="1" applyFill="1" applyBorder="1" applyAlignment="1">
      <alignment wrapText="1"/>
    </xf>
    <xf numFmtId="0" fontId="3" fillId="2" borderId="0" xfId="0" applyFont="1" applyFill="1" applyAlignment="1">
      <alignment wrapText="1"/>
    </xf>
    <xf numFmtId="0" fontId="6" fillId="2" borderId="0" xfId="0" applyFont="1" applyFill="1" applyAlignment="1">
      <alignment wrapText="1"/>
    </xf>
    <xf numFmtId="10" fontId="3" fillId="2" borderId="0" xfId="0" applyNumberFormat="1" applyFont="1" applyFill="1" applyAlignment="1">
      <alignment wrapText="1"/>
    </xf>
    <xf numFmtId="0" fontId="5" fillId="0" borderId="26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3" fillId="0" borderId="9" xfId="0" applyFont="1" applyBorder="1"/>
    <xf numFmtId="0" fontId="3" fillId="0" borderId="8" xfId="0" applyFont="1" applyBorder="1"/>
    <xf numFmtId="44" fontId="5" fillId="0" borderId="8" xfId="1" applyFont="1" applyFill="1" applyBorder="1"/>
    <xf numFmtId="0" fontId="5" fillId="0" borderId="7" xfId="0" applyFont="1" applyBorder="1" applyAlignment="1">
      <alignment wrapText="1"/>
    </xf>
    <xf numFmtId="0" fontId="6" fillId="2" borderId="0" xfId="0" applyFont="1" applyFill="1"/>
    <xf numFmtId="44" fontId="6" fillId="2" borderId="0" xfId="1" applyFont="1" applyFill="1" applyBorder="1"/>
    <xf numFmtId="0" fontId="3" fillId="0" borderId="6" xfId="0" applyFont="1" applyBorder="1"/>
    <xf numFmtId="0" fontId="6" fillId="0" borderId="0" xfId="0" applyFont="1"/>
    <xf numFmtId="44" fontId="6" fillId="0" borderId="0" xfId="1" applyFont="1" applyFill="1" applyBorder="1"/>
    <xf numFmtId="0" fontId="6" fillId="2" borderId="6" xfId="0" applyFont="1" applyFill="1" applyBorder="1"/>
    <xf numFmtId="0" fontId="7" fillId="2" borderId="0" xfId="0" applyFont="1" applyFill="1"/>
    <xf numFmtId="0" fontId="6" fillId="0" borderId="6" xfId="0" applyFont="1" applyBorder="1"/>
    <xf numFmtId="0" fontId="7" fillId="0" borderId="0" xfId="0" applyFont="1"/>
    <xf numFmtId="0" fontId="5" fillId="2" borderId="26" xfId="0" applyFont="1" applyFill="1" applyBorder="1" applyAlignment="1">
      <alignment wrapText="1"/>
    </xf>
    <xf numFmtId="0" fontId="5" fillId="2" borderId="2" xfId="0" applyFont="1" applyFill="1" applyBorder="1" applyAlignment="1">
      <alignment wrapText="1"/>
    </xf>
    <xf numFmtId="44" fontId="5" fillId="2" borderId="9" xfId="1" applyFont="1" applyFill="1" applyBorder="1"/>
    <xf numFmtId="44" fontId="3" fillId="2" borderId="8" xfId="1" applyFont="1" applyFill="1" applyBorder="1"/>
    <xf numFmtId="0" fontId="5" fillId="2" borderId="7" xfId="0" applyFont="1" applyFill="1" applyBorder="1" applyAlignment="1">
      <alignment wrapText="1"/>
    </xf>
    <xf numFmtId="44" fontId="3" fillId="0" borderId="6" xfId="1" applyFont="1" applyFill="1" applyBorder="1"/>
    <xf numFmtId="0" fontId="8" fillId="0" borderId="4" xfId="0" applyFont="1" applyBorder="1"/>
    <xf numFmtId="0" fontId="8" fillId="2" borderId="4" xfId="0" applyFont="1" applyFill="1" applyBorder="1"/>
    <xf numFmtId="0" fontId="5" fillId="2" borderId="1" xfId="0" applyFont="1" applyFill="1" applyBorder="1" applyAlignment="1">
      <alignment wrapText="1"/>
    </xf>
    <xf numFmtId="44" fontId="5" fillId="2" borderId="25" xfId="1" applyFont="1" applyFill="1" applyBorder="1"/>
    <xf numFmtId="44" fontId="5" fillId="2" borderId="20" xfId="1" applyFont="1" applyFill="1" applyBorder="1"/>
    <xf numFmtId="44" fontId="3" fillId="0" borderId="25" xfId="1" applyFont="1" applyFill="1" applyBorder="1"/>
    <xf numFmtId="10" fontId="3" fillId="0" borderId="20" xfId="2" applyNumberFormat="1" applyFont="1" applyFill="1" applyBorder="1"/>
    <xf numFmtId="10" fontId="6" fillId="0" borderId="20" xfId="2" applyNumberFormat="1" applyFont="1" applyFill="1" applyBorder="1"/>
    <xf numFmtId="10" fontId="3" fillId="2" borderId="0" xfId="2" applyNumberFormat="1" applyFont="1" applyFill="1" applyBorder="1"/>
    <xf numFmtId="10" fontId="6" fillId="2" borderId="0" xfId="2" applyNumberFormat="1" applyFont="1" applyFill="1" applyBorder="1"/>
    <xf numFmtId="10" fontId="3" fillId="0" borderId="0" xfId="2" applyNumberFormat="1" applyFont="1" applyFill="1" applyBorder="1"/>
    <xf numFmtId="10" fontId="6" fillId="0" borderId="0" xfId="2" applyNumberFormat="1" applyFont="1" applyFill="1" applyBorder="1"/>
    <xf numFmtId="0" fontId="5" fillId="2" borderId="26" xfId="0" applyFont="1" applyFill="1" applyBorder="1"/>
    <xf numFmtId="0" fontId="5" fillId="2" borderId="2" xfId="0" applyFont="1" applyFill="1" applyBorder="1"/>
    <xf numFmtId="44" fontId="5" fillId="0" borderId="9" xfId="0" applyNumberFormat="1" applyFont="1" applyBorder="1"/>
    <xf numFmtId="0" fontId="5" fillId="0" borderId="8" xfId="0" applyFont="1" applyBorder="1"/>
    <xf numFmtId="0" fontId="5" fillId="0" borderId="7" xfId="0" applyFont="1" applyBorder="1" applyAlignment="1">
      <alignment horizontal="right" wrapText="1"/>
    </xf>
    <xf numFmtId="10" fontId="2" fillId="2" borderId="25" xfId="2" applyNumberFormat="1" applyFont="1" applyFill="1" applyBorder="1"/>
    <xf numFmtId="0" fontId="0" fillId="2" borderId="20" xfId="0" applyFill="1" applyBorder="1"/>
    <xf numFmtId="0" fontId="0" fillId="2" borderId="21" xfId="0" applyFill="1" applyBorder="1" applyAlignment="1">
      <alignment horizontal="center"/>
    </xf>
    <xf numFmtId="44" fontId="2" fillId="0" borderId="6" xfId="0" applyNumberFormat="1" applyFont="1" applyBorder="1"/>
    <xf numFmtId="0" fontId="0" fillId="0" borderId="5" xfId="0" applyBorder="1" applyAlignment="1">
      <alignment horizontal="center"/>
    </xf>
    <xf numFmtId="44" fontId="2" fillId="2" borderId="6" xfId="1" applyFont="1" applyFill="1" applyBorder="1"/>
    <xf numFmtId="0" fontId="0" fillId="2" borderId="5" xfId="0" applyFill="1" applyBorder="1" applyAlignment="1">
      <alignment horizontal="center"/>
    </xf>
    <xf numFmtId="44" fontId="2" fillId="0" borderId="6" xfId="1" applyFont="1" applyBorder="1"/>
    <xf numFmtId="9" fontId="9" fillId="0" borderId="0" xfId="0" applyNumberFormat="1" applyFont="1"/>
    <xf numFmtId="0" fontId="3" fillId="0" borderId="26" xfId="0" applyFont="1" applyBorder="1"/>
    <xf numFmtId="0" fontId="3" fillId="0" borderId="2" xfId="0" applyFont="1" applyBorder="1"/>
    <xf numFmtId="0" fontId="3" fillId="0" borderId="1" xfId="0" applyFont="1" applyBorder="1" applyAlignment="1">
      <alignment horizontal="center" wrapText="1"/>
    </xf>
    <xf numFmtId="0" fontId="5" fillId="0" borderId="26" xfId="0" applyFont="1" applyBorder="1"/>
    <xf numFmtId="0" fontId="5" fillId="0" borderId="2" xfId="0" applyFont="1" applyBorder="1"/>
    <xf numFmtId="44" fontId="0" fillId="0" borderId="0" xfId="0" applyNumberFormat="1"/>
    <xf numFmtId="164" fontId="0" fillId="0" borderId="0" xfId="0" applyNumberFormat="1"/>
    <xf numFmtId="164" fontId="0" fillId="0" borderId="12" xfId="0" applyNumberFormat="1" applyBorder="1"/>
    <xf numFmtId="164" fontId="0" fillId="0" borderId="15" xfId="0" applyNumberFormat="1" applyBorder="1"/>
    <xf numFmtId="164" fontId="0" fillId="0" borderId="4" xfId="0" applyNumberFormat="1" applyBorder="1"/>
    <xf numFmtId="164" fontId="0" fillId="0" borderId="10" xfId="0" applyNumberFormat="1" applyBorder="1"/>
    <xf numFmtId="44" fontId="0" fillId="0" borderId="0" xfId="1" applyFont="1" applyBorder="1"/>
    <xf numFmtId="44" fontId="0" fillId="0" borderId="12" xfId="1" applyFont="1" applyBorder="1"/>
    <xf numFmtId="0" fontId="2" fillId="0" borderId="0" xfId="0" applyFont="1"/>
    <xf numFmtId="0" fontId="2" fillId="0" borderId="11" xfId="0" applyFont="1" applyBorder="1"/>
    <xf numFmtId="0" fontId="2" fillId="0" borderId="12" xfId="0" applyFont="1" applyBorder="1"/>
    <xf numFmtId="164" fontId="0" fillId="0" borderId="12" xfId="1" applyNumberFormat="1" applyFont="1" applyBorder="1"/>
    <xf numFmtId="164" fontId="0" fillId="0" borderId="4" xfId="1" applyNumberFormat="1" applyFont="1" applyBorder="1"/>
    <xf numFmtId="44" fontId="0" fillId="0" borderId="0" xfId="1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2" fontId="0" fillId="0" borderId="0" xfId="1" applyNumberFormat="1" applyFont="1"/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9" xfId="0" applyBorder="1" applyAlignment="1">
      <alignment horizontal="center"/>
    </xf>
    <xf numFmtId="0" fontId="2" fillId="0" borderId="0" xfId="0" applyFont="1" applyFill="1" applyBorder="1"/>
    <xf numFmtId="9" fontId="0" fillId="0" borderId="0" xfId="2" applyFont="1"/>
  </cellXfs>
  <cellStyles count="3">
    <cellStyle name="Currency" xfId="1" builtinId="4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FFC12-4B3C-479B-B0DC-844B6AAD97BF}">
  <dimension ref="A1:LD90"/>
  <sheetViews>
    <sheetView zoomScale="80" zoomScaleNormal="80" workbookViewId="0">
      <selection activeCell="G11" sqref="G11"/>
    </sheetView>
  </sheetViews>
  <sheetFormatPr defaultColWidth="8.88671875" defaultRowHeight="14.4" x14ac:dyDescent="0.3"/>
  <cols>
    <col min="1" max="1" width="31.6640625" style="1" customWidth="1"/>
    <col min="2" max="2" width="17.6640625" bestFit="1" customWidth="1"/>
    <col min="3" max="3" width="15.6640625" bestFit="1" customWidth="1"/>
    <col min="4" max="4" width="17.6640625" bestFit="1" customWidth="1"/>
    <col min="5" max="5" width="16.33203125" bestFit="1" customWidth="1"/>
    <col min="6" max="6" width="13.6640625" bestFit="1" customWidth="1"/>
    <col min="7" max="7" width="15.5546875" customWidth="1"/>
    <col min="8" max="8" width="3.33203125" bestFit="1" customWidth="1"/>
    <col min="9" max="9" width="79.109375" customWidth="1"/>
    <col min="10" max="10" width="4.44140625" bestFit="1" customWidth="1"/>
    <col min="11" max="11" width="14.5546875" bestFit="1" customWidth="1"/>
  </cols>
  <sheetData>
    <row r="1" spans="1:316" ht="28.8" x14ac:dyDescent="0.3">
      <c r="A1" s="59" t="s">
        <v>117</v>
      </c>
      <c r="B1" s="109" t="s">
        <v>116</v>
      </c>
      <c r="C1" s="58" t="s">
        <v>124</v>
      </c>
      <c r="D1" s="58" t="s">
        <v>125</v>
      </c>
      <c r="E1" s="108" t="s">
        <v>115</v>
      </c>
      <c r="F1" s="4"/>
      <c r="G1" s="4"/>
      <c r="H1" s="107" t="s">
        <v>114</v>
      </c>
      <c r="I1" s="106" t="s">
        <v>126</v>
      </c>
      <c r="J1" s="106" t="s">
        <v>113</v>
      </c>
      <c r="K1" s="105" t="s">
        <v>127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</row>
    <row r="2" spans="1:316" s="15" customFormat="1" x14ac:dyDescent="0.3">
      <c r="A2" s="29" t="s">
        <v>118</v>
      </c>
      <c r="B2" s="64">
        <v>1</v>
      </c>
      <c r="C2" s="65">
        <v>76243</v>
      </c>
      <c r="D2" s="65">
        <v>91781.35</v>
      </c>
      <c r="E2" s="25">
        <f t="shared" ref="E2:E10" si="0">B2*D2</f>
        <v>91781.35</v>
      </c>
      <c r="F2" s="4"/>
      <c r="G2" s="4"/>
      <c r="H2" s="102">
        <v>1</v>
      </c>
      <c r="I2" s="15" t="s">
        <v>128</v>
      </c>
      <c r="K2" s="101">
        <f>D24</f>
        <v>246372.66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</row>
    <row r="3" spans="1:316" x14ac:dyDescent="0.3">
      <c r="A3" s="32" t="s">
        <v>104</v>
      </c>
      <c r="B3" s="67">
        <v>1</v>
      </c>
      <c r="C3" s="68">
        <v>40550</v>
      </c>
      <c r="D3" s="68">
        <v>53039.4</v>
      </c>
      <c r="E3" s="78">
        <f t="shared" si="0"/>
        <v>53039.4</v>
      </c>
      <c r="F3" s="4"/>
      <c r="G3" s="4"/>
      <c r="H3" s="100">
        <v>2</v>
      </c>
      <c r="I3" t="s">
        <v>129</v>
      </c>
      <c r="K3" s="103">
        <f>B75</f>
        <v>335500.22000000003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</row>
    <row r="4" spans="1:316" s="15" customFormat="1" x14ac:dyDescent="0.3">
      <c r="A4" s="29" t="s">
        <v>119</v>
      </c>
      <c r="B4" s="64">
        <v>1</v>
      </c>
      <c r="C4" s="65">
        <v>25135</v>
      </c>
      <c r="D4" s="65">
        <v>32876.58</v>
      </c>
      <c r="E4" s="25">
        <f t="shared" si="0"/>
        <v>32876.58</v>
      </c>
      <c r="F4" s="4"/>
      <c r="G4" s="4"/>
      <c r="H4" s="102">
        <v>3</v>
      </c>
      <c r="I4" s="15" t="s">
        <v>130</v>
      </c>
      <c r="K4" s="101">
        <f>K2+K3</f>
        <v>581872.88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  <c r="KK4" s="4"/>
      <c r="KL4" s="4"/>
      <c r="KM4" s="4"/>
      <c r="KN4" s="4"/>
      <c r="KO4" s="4"/>
      <c r="KP4" s="4"/>
      <c r="KQ4" s="4"/>
      <c r="KR4" s="4"/>
      <c r="KS4" s="4"/>
      <c r="KT4" s="4"/>
      <c r="KU4" s="4"/>
      <c r="KV4" s="4"/>
      <c r="KW4" s="4"/>
      <c r="KX4" s="4"/>
      <c r="KY4" s="4"/>
      <c r="KZ4" s="4"/>
      <c r="LA4" s="4"/>
      <c r="LB4" s="4"/>
      <c r="LC4" s="4"/>
      <c r="LD4" s="4"/>
    </row>
    <row r="5" spans="1:316" x14ac:dyDescent="0.3">
      <c r="A5" s="32" t="s">
        <v>120</v>
      </c>
      <c r="B5" s="67">
        <v>1</v>
      </c>
      <c r="C5" s="68">
        <v>35574</v>
      </c>
      <c r="D5" s="68">
        <v>46530.79</v>
      </c>
      <c r="E5" s="78">
        <f t="shared" si="0"/>
        <v>46530.79</v>
      </c>
      <c r="F5" s="4"/>
      <c r="G5" s="4"/>
      <c r="H5" s="100">
        <v>4</v>
      </c>
      <c r="I5" t="s">
        <v>131</v>
      </c>
      <c r="J5" s="104">
        <v>0.25</v>
      </c>
      <c r="K5" s="103">
        <f>K4*J5</f>
        <v>145468.22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</row>
    <row r="6" spans="1:316" s="15" customFormat="1" x14ac:dyDescent="0.3">
      <c r="A6" s="29" t="s">
        <v>107</v>
      </c>
      <c r="B6" s="64">
        <v>1</v>
      </c>
      <c r="C6" s="65">
        <v>41988</v>
      </c>
      <c r="D6" s="65">
        <v>54920.3</v>
      </c>
      <c r="E6" s="25">
        <f t="shared" si="0"/>
        <v>54920.3</v>
      </c>
      <c r="F6" s="4"/>
      <c r="G6" s="4"/>
      <c r="H6" s="102">
        <v>5</v>
      </c>
      <c r="I6" s="15" t="s">
        <v>132</v>
      </c>
      <c r="K6" s="101">
        <f>K4+K5</f>
        <v>727341.1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</row>
    <row r="7" spans="1:316" x14ac:dyDescent="0.3">
      <c r="A7" s="32" t="s">
        <v>108</v>
      </c>
      <c r="B7" s="67">
        <v>1</v>
      </c>
      <c r="C7" s="68">
        <v>44369</v>
      </c>
      <c r="D7" s="68">
        <v>58034.65</v>
      </c>
      <c r="E7" s="78">
        <f t="shared" si="0"/>
        <v>58034.65</v>
      </c>
      <c r="F7" s="4"/>
      <c r="G7" s="4"/>
      <c r="H7" s="100">
        <v>6</v>
      </c>
      <c r="I7" t="s">
        <v>133</v>
      </c>
      <c r="K7" s="99">
        <f>E90</f>
        <v>781150.63500000001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</row>
    <row r="8" spans="1:316" s="15" customFormat="1" ht="15" thickBot="1" x14ac:dyDescent="0.35">
      <c r="A8" s="29" t="s">
        <v>121</v>
      </c>
      <c r="B8" s="64">
        <v>2</v>
      </c>
      <c r="C8" s="65">
        <v>39879</v>
      </c>
      <c r="D8" s="65">
        <v>52161.73</v>
      </c>
      <c r="E8" s="25">
        <f t="shared" si="0"/>
        <v>104323.46</v>
      </c>
      <c r="F8" s="4"/>
      <c r="G8" s="4"/>
      <c r="H8" s="98">
        <v>7</v>
      </c>
      <c r="I8" s="97" t="s">
        <v>134</v>
      </c>
      <c r="J8" s="97"/>
      <c r="K8" s="96">
        <f>IFERROR((K7-K6)/K6,"sin valor")</f>
        <v>7.3981155471621277E-2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</row>
    <row r="9" spans="1:316" x14ac:dyDescent="0.3">
      <c r="A9" s="32" t="s">
        <v>122</v>
      </c>
      <c r="B9" s="67">
        <v>4</v>
      </c>
      <c r="C9" s="68">
        <v>25872</v>
      </c>
      <c r="D9" s="68">
        <v>33840.58</v>
      </c>
      <c r="E9" s="78">
        <f t="shared" si="0"/>
        <v>135362.32</v>
      </c>
      <c r="F9" s="4"/>
      <c r="G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</row>
    <row r="10" spans="1:316" s="15" customFormat="1" ht="15" thickBot="1" x14ac:dyDescent="0.35">
      <c r="A10" s="29" t="s">
        <v>123</v>
      </c>
      <c r="B10" s="64">
        <v>1</v>
      </c>
      <c r="C10" s="65">
        <v>26849</v>
      </c>
      <c r="D10" s="65">
        <v>35118.49</v>
      </c>
      <c r="E10" s="25">
        <f t="shared" si="0"/>
        <v>35118.49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</row>
    <row r="11" spans="1:316" ht="15" thickBot="1" x14ac:dyDescent="0.35">
      <c r="A11" s="95" t="s">
        <v>111</v>
      </c>
      <c r="B11" s="94">
        <f>SUM(B2:B10)</f>
        <v>13</v>
      </c>
      <c r="C11" s="94"/>
      <c r="D11" s="94"/>
      <c r="E11" s="93">
        <f>SUM(E2:E10)</f>
        <v>611987.34000000008</v>
      </c>
      <c r="F11" s="4"/>
      <c r="G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</row>
    <row r="12" spans="1:316" x14ac:dyDescent="0.3">
      <c r="F12" s="4"/>
      <c r="G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</row>
    <row r="13" spans="1:316" ht="15" thickBot="1" x14ac:dyDescent="0.35">
      <c r="A13" s="3"/>
      <c r="B13" s="4"/>
      <c r="C13" s="4"/>
      <c r="D13" s="4"/>
      <c r="E13" s="4"/>
      <c r="F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  <c r="KK13" s="4"/>
      <c r="KL13" s="4"/>
      <c r="KM13" s="4"/>
      <c r="KN13" s="4"/>
      <c r="KO13" s="4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</row>
    <row r="14" spans="1:316" s="15" customFormat="1" x14ac:dyDescent="0.3">
      <c r="A14" s="81" t="s">
        <v>117</v>
      </c>
      <c r="B14" s="92" t="s">
        <v>111</v>
      </c>
      <c r="C14" s="74" t="s">
        <v>112</v>
      </c>
      <c r="D14" s="92" t="s">
        <v>135</v>
      </c>
      <c r="E14" s="74" t="s">
        <v>136</v>
      </c>
      <c r="F14" s="91" t="s">
        <v>137</v>
      </c>
      <c r="G14"/>
      <c r="H14"/>
      <c r="I14"/>
      <c r="J14"/>
      <c r="K1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</row>
    <row r="15" spans="1:316" x14ac:dyDescent="0.3">
      <c r="A15" s="32" t="s">
        <v>118</v>
      </c>
      <c r="B15" s="31">
        <f t="shared" ref="B15:B23" si="1">D2</f>
        <v>91781.35</v>
      </c>
      <c r="C15" s="90">
        <v>0</v>
      </c>
      <c r="D15" s="31">
        <f t="shared" ref="D15:D23" si="2">ROUND(B15*C15,2)</f>
        <v>0</v>
      </c>
      <c r="E15" s="89">
        <f t="shared" ref="E15:E23" si="3">1-C15</f>
        <v>1</v>
      </c>
      <c r="F15" s="78">
        <f t="shared" ref="F15:F23" si="4">ROUND(B15*E15,2)</f>
        <v>91781.35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</row>
    <row r="16" spans="1:316" s="15" customFormat="1" x14ac:dyDescent="0.3">
      <c r="A16" s="29" t="s">
        <v>104</v>
      </c>
      <c r="B16" s="28">
        <f t="shared" si="1"/>
        <v>53039.4</v>
      </c>
      <c r="C16" s="88">
        <v>0.65</v>
      </c>
      <c r="D16" s="28">
        <f t="shared" si="2"/>
        <v>34475.61</v>
      </c>
      <c r="E16" s="87">
        <f t="shared" si="3"/>
        <v>0.35</v>
      </c>
      <c r="F16" s="25">
        <f t="shared" si="4"/>
        <v>18563.79</v>
      </c>
      <c r="G16"/>
      <c r="H16"/>
      <c r="I16"/>
      <c r="J16"/>
      <c r="K16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  <c r="KK16" s="4"/>
      <c r="KL16" s="4"/>
      <c r="KM16" s="4"/>
      <c r="KN16" s="4"/>
      <c r="KO16" s="4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</row>
    <row r="17" spans="1:316" x14ac:dyDescent="0.3">
      <c r="A17" s="32" t="s">
        <v>119</v>
      </c>
      <c r="B17" s="31">
        <f t="shared" si="1"/>
        <v>32876.58</v>
      </c>
      <c r="C17" s="90">
        <v>0.5</v>
      </c>
      <c r="D17" s="31">
        <f t="shared" si="2"/>
        <v>16438.29</v>
      </c>
      <c r="E17" s="89">
        <f t="shared" si="3"/>
        <v>0.5</v>
      </c>
      <c r="F17" s="78">
        <f t="shared" si="4"/>
        <v>16438.29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</row>
    <row r="18" spans="1:316" s="15" customFormat="1" x14ac:dyDescent="0.3">
      <c r="A18" s="29" t="s">
        <v>120</v>
      </c>
      <c r="B18" s="28">
        <f t="shared" si="1"/>
        <v>46530.79</v>
      </c>
      <c r="C18" s="88">
        <v>0.8</v>
      </c>
      <c r="D18" s="28">
        <f t="shared" si="2"/>
        <v>37224.629999999997</v>
      </c>
      <c r="E18" s="87">
        <f t="shared" si="3"/>
        <v>0.19999999999999996</v>
      </c>
      <c r="F18" s="25">
        <f t="shared" si="4"/>
        <v>9306.16</v>
      </c>
      <c r="G18"/>
      <c r="H18"/>
      <c r="I18"/>
      <c r="J18"/>
      <c r="K18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  <c r="KK18" s="4"/>
      <c r="KL18" s="4"/>
      <c r="KM18" s="4"/>
      <c r="KN18" s="4"/>
      <c r="KO18" s="4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</row>
    <row r="19" spans="1:316" x14ac:dyDescent="0.3">
      <c r="A19" s="32" t="s">
        <v>107</v>
      </c>
      <c r="B19" s="31">
        <f t="shared" si="1"/>
        <v>54920.3</v>
      </c>
      <c r="C19" s="90">
        <v>0.85</v>
      </c>
      <c r="D19" s="31">
        <f t="shared" si="2"/>
        <v>46682.26</v>
      </c>
      <c r="E19" s="89">
        <f t="shared" si="3"/>
        <v>0.15000000000000002</v>
      </c>
      <c r="F19" s="78">
        <f t="shared" si="4"/>
        <v>8238.0499999999993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  <c r="KK19" s="4"/>
      <c r="KL19" s="4"/>
      <c r="KM19" s="4"/>
      <c r="KN19" s="4"/>
      <c r="KO19" s="4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</row>
    <row r="20" spans="1:316" s="15" customFormat="1" x14ac:dyDescent="0.3">
      <c r="A20" s="29" t="s">
        <v>108</v>
      </c>
      <c r="B20" s="28">
        <f t="shared" si="1"/>
        <v>58034.65</v>
      </c>
      <c r="C20" s="88">
        <v>0.75</v>
      </c>
      <c r="D20" s="28">
        <f t="shared" si="2"/>
        <v>43525.99</v>
      </c>
      <c r="E20" s="87">
        <f t="shared" si="3"/>
        <v>0.25</v>
      </c>
      <c r="F20" s="25">
        <f t="shared" si="4"/>
        <v>14508.66</v>
      </c>
      <c r="G20"/>
      <c r="H20"/>
      <c r="I20"/>
      <c r="J20"/>
      <c r="K20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</row>
    <row r="21" spans="1:316" x14ac:dyDescent="0.3">
      <c r="A21" s="32" t="s">
        <v>121</v>
      </c>
      <c r="B21" s="31">
        <f t="shared" si="1"/>
        <v>52161.73</v>
      </c>
      <c r="C21" s="90">
        <v>0.85</v>
      </c>
      <c r="D21" s="31">
        <f t="shared" si="2"/>
        <v>44337.47</v>
      </c>
      <c r="E21" s="89">
        <f t="shared" si="3"/>
        <v>0.15000000000000002</v>
      </c>
      <c r="F21" s="78">
        <f t="shared" si="4"/>
        <v>7824.26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</row>
    <row r="22" spans="1:316" s="15" customFormat="1" x14ac:dyDescent="0.3">
      <c r="A22" s="29" t="s">
        <v>122</v>
      </c>
      <c r="B22" s="28">
        <f t="shared" si="1"/>
        <v>33840.58</v>
      </c>
      <c r="C22" s="88">
        <v>0.7</v>
      </c>
      <c r="D22" s="28">
        <f t="shared" si="2"/>
        <v>23688.41</v>
      </c>
      <c r="E22" s="87">
        <f t="shared" si="3"/>
        <v>0.30000000000000004</v>
      </c>
      <c r="F22" s="25">
        <f t="shared" si="4"/>
        <v>10152.17</v>
      </c>
      <c r="G22"/>
      <c r="H22"/>
      <c r="I22"/>
      <c r="J22"/>
      <c r="K22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</row>
    <row r="23" spans="1:316" ht="15" thickBot="1" x14ac:dyDescent="0.35">
      <c r="A23" s="24" t="s">
        <v>123</v>
      </c>
      <c r="B23" s="23">
        <f t="shared" si="1"/>
        <v>35118.49</v>
      </c>
      <c r="C23" s="86">
        <v>0</v>
      </c>
      <c r="D23" s="23">
        <f t="shared" si="2"/>
        <v>0</v>
      </c>
      <c r="E23" s="85">
        <f t="shared" si="3"/>
        <v>1</v>
      </c>
      <c r="F23" s="84">
        <f t="shared" si="4"/>
        <v>35118.49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</row>
    <row r="24" spans="1:316" s="15" customFormat="1" ht="15" thickBot="1" x14ac:dyDescent="0.35">
      <c r="A24" s="19" t="s">
        <v>111</v>
      </c>
      <c r="B24" s="83">
        <f>SUM(B15:B23)</f>
        <v>458303.87000000005</v>
      </c>
      <c r="C24" s="18"/>
      <c r="D24" s="83">
        <f>SUM(D15:D23)</f>
        <v>246372.66</v>
      </c>
      <c r="E24" s="18"/>
      <c r="F24" s="82">
        <f>SUM(F15:F23)</f>
        <v>211931.22000000003</v>
      </c>
      <c r="G24"/>
      <c r="H24"/>
      <c r="I24"/>
      <c r="J24"/>
      <c r="K2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/>
      <c r="JL24" s="4"/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4"/>
      <c r="KH24" s="4"/>
      <c r="KI24" s="4"/>
      <c r="KJ24" s="4"/>
      <c r="KK24" s="4"/>
      <c r="KL24" s="4"/>
      <c r="KM24" s="4"/>
      <c r="KN24" s="4"/>
      <c r="KO24" s="4"/>
      <c r="KP24" s="4"/>
      <c r="KQ24" s="4"/>
      <c r="KR24" s="4"/>
      <c r="KS24" s="4"/>
      <c r="KT24" s="4"/>
      <c r="KU24" s="4"/>
      <c r="KV24" s="4"/>
      <c r="KW24" s="4"/>
      <c r="KX24" s="4"/>
      <c r="KY24" s="4"/>
      <c r="KZ24" s="4"/>
      <c r="LA24" s="4"/>
      <c r="LB24" s="4"/>
      <c r="LC24" s="4"/>
      <c r="LD24" s="4"/>
    </row>
    <row r="25" spans="1:316" ht="15" thickBot="1" x14ac:dyDescent="0.35">
      <c r="A25" s="3"/>
      <c r="B25" s="4"/>
      <c r="C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  <c r="KK25" s="4"/>
      <c r="KL25" s="4"/>
      <c r="KM25" s="4"/>
      <c r="KN25" s="4"/>
      <c r="KO25" s="4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</row>
    <row r="26" spans="1:316" s="15" customFormat="1" x14ac:dyDescent="0.3">
      <c r="A26" s="81" t="s">
        <v>138</v>
      </c>
      <c r="B26" s="74" t="s">
        <v>139</v>
      </c>
      <c r="C26" s="73" t="s">
        <v>140</v>
      </c>
      <c r="D26"/>
      <c r="E26"/>
      <c r="F26"/>
      <c r="G26"/>
      <c r="H26"/>
      <c r="I26"/>
      <c r="J26"/>
      <c r="K26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  <c r="KK26" s="4"/>
      <c r="KL26" s="4"/>
      <c r="KM26" s="4"/>
      <c r="KN26" s="4"/>
      <c r="KO26" s="4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</row>
    <row r="27" spans="1:316" x14ac:dyDescent="0.3">
      <c r="A27" s="79" t="s">
        <v>141</v>
      </c>
      <c r="B27" s="68">
        <v>850</v>
      </c>
      <c r="C27" s="78">
        <f t="shared" ref="C27:C49" si="5">B27*12</f>
        <v>10200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  <c r="KK27" s="4"/>
      <c r="KL27" s="4"/>
      <c r="KM27" s="4"/>
      <c r="KN27" s="4"/>
      <c r="KO27" s="4"/>
      <c r="KP27" s="4"/>
      <c r="KQ27" s="4"/>
      <c r="KR27" s="4"/>
      <c r="KS27" s="4"/>
      <c r="KT27" s="4"/>
      <c r="KU27" s="4"/>
      <c r="KV27" s="4"/>
      <c r="KW27" s="4"/>
      <c r="KX27" s="4"/>
      <c r="KY27" s="4"/>
      <c r="KZ27" s="4"/>
      <c r="LA27" s="4"/>
      <c r="LB27" s="4"/>
      <c r="LC27" s="4"/>
      <c r="LD27" s="4"/>
    </row>
    <row r="28" spans="1:316" s="15" customFormat="1" x14ac:dyDescent="0.3">
      <c r="A28" s="80" t="s">
        <v>142</v>
      </c>
      <c r="B28" s="65">
        <v>800</v>
      </c>
      <c r="C28" s="25">
        <f t="shared" si="5"/>
        <v>9600</v>
      </c>
      <c r="D28"/>
      <c r="E28"/>
      <c r="F28"/>
      <c r="G28"/>
      <c r="H28"/>
      <c r="I28"/>
      <c r="J28"/>
      <c r="K28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  <c r="KK28" s="4"/>
      <c r="KL28" s="4"/>
      <c r="KM28" s="4"/>
      <c r="KN28" s="4"/>
      <c r="KO28" s="4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</row>
    <row r="29" spans="1:316" x14ac:dyDescent="0.3">
      <c r="A29" s="79" t="s">
        <v>143</v>
      </c>
      <c r="B29" s="68">
        <v>550</v>
      </c>
      <c r="C29" s="78">
        <f t="shared" si="5"/>
        <v>6600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  <c r="KK29" s="4"/>
      <c r="KL29" s="4"/>
      <c r="KM29" s="4"/>
      <c r="KN29" s="4"/>
      <c r="KO29" s="4"/>
      <c r="KP29" s="4"/>
      <c r="KQ29" s="4"/>
      <c r="KR29" s="4"/>
      <c r="KS29" s="4"/>
      <c r="KT29" s="4"/>
      <c r="KU29" s="4"/>
      <c r="KV29" s="4"/>
      <c r="KW29" s="4"/>
      <c r="KX29" s="4"/>
      <c r="KY29" s="4"/>
      <c r="KZ29" s="4"/>
      <c r="LA29" s="4"/>
      <c r="LB29" s="4"/>
      <c r="LC29" s="4"/>
      <c r="LD29" s="4"/>
    </row>
    <row r="30" spans="1:316" s="15" customFormat="1" x14ac:dyDescent="0.3">
      <c r="A30" s="80" t="s">
        <v>144</v>
      </c>
      <c r="B30" s="65">
        <v>400</v>
      </c>
      <c r="C30" s="25">
        <f t="shared" si="5"/>
        <v>4800</v>
      </c>
      <c r="D30"/>
      <c r="E30"/>
      <c r="F30"/>
      <c r="G30"/>
      <c r="H30"/>
      <c r="I30"/>
      <c r="J30"/>
      <c r="K30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  <c r="KK30" s="4"/>
      <c r="KL30" s="4"/>
      <c r="KM30" s="4"/>
      <c r="KN30" s="4"/>
      <c r="KO30" s="4"/>
      <c r="KP30" s="4"/>
      <c r="KQ30" s="4"/>
      <c r="KR30" s="4"/>
      <c r="KS30" s="4"/>
      <c r="KT30" s="4"/>
      <c r="KU30" s="4"/>
      <c r="KV30" s="4"/>
      <c r="KW30" s="4"/>
      <c r="KX30" s="4"/>
      <c r="KY30" s="4"/>
      <c r="KZ30" s="4"/>
      <c r="LA30" s="4"/>
      <c r="LB30" s="4"/>
      <c r="LC30" s="4"/>
      <c r="LD30" s="4"/>
    </row>
    <row r="31" spans="1:316" x14ac:dyDescent="0.3">
      <c r="A31" s="79" t="s">
        <v>145</v>
      </c>
      <c r="B31" s="68">
        <v>120</v>
      </c>
      <c r="C31" s="78">
        <f t="shared" si="5"/>
        <v>1440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</row>
    <row r="32" spans="1:316" s="15" customFormat="1" x14ac:dyDescent="0.3">
      <c r="A32" s="80" t="s">
        <v>146</v>
      </c>
      <c r="B32" s="65">
        <v>1350</v>
      </c>
      <c r="C32" s="25">
        <f t="shared" si="5"/>
        <v>16200</v>
      </c>
      <c r="D32"/>
      <c r="E32"/>
      <c r="F32"/>
      <c r="G32"/>
      <c r="H32"/>
      <c r="I32"/>
      <c r="J32"/>
      <c r="K32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</row>
    <row r="33" spans="1:316" x14ac:dyDescent="0.3">
      <c r="A33" s="79" t="s">
        <v>147</v>
      </c>
      <c r="B33" s="68">
        <v>900</v>
      </c>
      <c r="C33" s="78">
        <f t="shared" si="5"/>
        <v>10800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</row>
    <row r="34" spans="1:316" s="15" customFormat="1" x14ac:dyDescent="0.3">
      <c r="A34" s="80" t="s">
        <v>148</v>
      </c>
      <c r="B34" s="65">
        <v>140</v>
      </c>
      <c r="C34" s="25">
        <f t="shared" si="5"/>
        <v>1680</v>
      </c>
      <c r="D34"/>
      <c r="E34"/>
      <c r="F34"/>
      <c r="G34"/>
      <c r="H34"/>
      <c r="I34"/>
      <c r="J34"/>
      <c r="K3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</row>
    <row r="35" spans="1:316" x14ac:dyDescent="0.3">
      <c r="A35" s="79" t="s">
        <v>149</v>
      </c>
      <c r="B35" s="68">
        <v>120</v>
      </c>
      <c r="C35" s="78">
        <f t="shared" si="5"/>
        <v>1440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</row>
    <row r="36" spans="1:316" s="15" customFormat="1" x14ac:dyDescent="0.3">
      <c r="A36" s="80" t="s">
        <v>150</v>
      </c>
      <c r="B36" s="65">
        <v>120</v>
      </c>
      <c r="C36" s="25">
        <f t="shared" si="5"/>
        <v>1440</v>
      </c>
      <c r="D36"/>
      <c r="E36"/>
      <c r="F36"/>
      <c r="G36"/>
      <c r="H36"/>
      <c r="I36"/>
      <c r="J36"/>
      <c r="K36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</row>
    <row r="37" spans="1:316" x14ac:dyDescent="0.3">
      <c r="A37" s="79" t="s">
        <v>151</v>
      </c>
      <c r="B37" s="68">
        <v>180</v>
      </c>
      <c r="C37" s="78">
        <f t="shared" si="5"/>
        <v>2160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</row>
    <row r="38" spans="1:316" s="15" customFormat="1" x14ac:dyDescent="0.3">
      <c r="A38" s="80" t="s">
        <v>152</v>
      </c>
      <c r="B38" s="65">
        <v>55</v>
      </c>
      <c r="C38" s="25">
        <f t="shared" si="5"/>
        <v>660</v>
      </c>
      <c r="D38"/>
      <c r="E38"/>
      <c r="F38"/>
      <c r="G38"/>
      <c r="H38"/>
      <c r="I38"/>
      <c r="J38"/>
      <c r="K38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</row>
    <row r="39" spans="1:316" x14ac:dyDescent="0.3">
      <c r="A39" s="79" t="s">
        <v>153</v>
      </c>
      <c r="B39" s="68">
        <v>400</v>
      </c>
      <c r="C39" s="78">
        <f t="shared" si="5"/>
        <v>4800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</row>
    <row r="40" spans="1:316" s="15" customFormat="1" x14ac:dyDescent="0.3">
      <c r="A40" s="80" t="s">
        <v>154</v>
      </c>
      <c r="B40" s="65">
        <v>300</v>
      </c>
      <c r="C40" s="25">
        <f t="shared" si="5"/>
        <v>3600</v>
      </c>
      <c r="D40"/>
      <c r="E40"/>
      <c r="F40"/>
      <c r="G40"/>
      <c r="H40"/>
      <c r="I40"/>
      <c r="J40"/>
      <c r="K40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</row>
    <row r="41" spans="1:316" x14ac:dyDescent="0.3">
      <c r="A41" s="79" t="s">
        <v>155</v>
      </c>
      <c r="B41" s="68">
        <v>150</v>
      </c>
      <c r="C41" s="78">
        <f t="shared" si="5"/>
        <v>1800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</row>
    <row r="42" spans="1:316" s="15" customFormat="1" x14ac:dyDescent="0.3">
      <c r="A42" s="80" t="s">
        <v>156</v>
      </c>
      <c r="B42" s="65">
        <v>500</v>
      </c>
      <c r="C42" s="25">
        <f t="shared" si="5"/>
        <v>6000</v>
      </c>
      <c r="D42"/>
      <c r="E42"/>
      <c r="F42"/>
      <c r="G42"/>
      <c r="H42"/>
      <c r="I42"/>
      <c r="J42"/>
      <c r="K42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</row>
    <row r="43" spans="1:316" x14ac:dyDescent="0.3">
      <c r="A43" s="79" t="s">
        <v>157</v>
      </c>
      <c r="B43" s="68">
        <v>350</v>
      </c>
      <c r="C43" s="78">
        <f t="shared" si="5"/>
        <v>4200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</row>
    <row r="44" spans="1:316" s="15" customFormat="1" x14ac:dyDescent="0.3">
      <c r="A44" s="80" t="s">
        <v>158</v>
      </c>
      <c r="B44" s="65">
        <v>300</v>
      </c>
      <c r="C44" s="25">
        <f t="shared" si="5"/>
        <v>3600</v>
      </c>
      <c r="D44"/>
      <c r="E44"/>
      <c r="F44"/>
      <c r="G44"/>
      <c r="H44"/>
      <c r="I44"/>
      <c r="J44"/>
      <c r="K4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</row>
    <row r="45" spans="1:316" x14ac:dyDescent="0.3">
      <c r="A45" s="79" t="s">
        <v>159</v>
      </c>
      <c r="B45" s="68">
        <v>200</v>
      </c>
      <c r="C45" s="78">
        <f t="shared" si="5"/>
        <v>2400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</row>
    <row r="46" spans="1:316" s="15" customFormat="1" x14ac:dyDescent="0.3">
      <c r="A46" s="80" t="s">
        <v>160</v>
      </c>
      <c r="B46" s="65">
        <v>50</v>
      </c>
      <c r="C46" s="25">
        <f t="shared" si="5"/>
        <v>600</v>
      </c>
      <c r="D46"/>
      <c r="E46"/>
      <c r="F46"/>
      <c r="G46"/>
      <c r="H46"/>
      <c r="I46"/>
      <c r="J46"/>
      <c r="K46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</row>
    <row r="47" spans="1:316" x14ac:dyDescent="0.3">
      <c r="A47" s="79" t="s">
        <v>161</v>
      </c>
      <c r="B47" s="68">
        <v>150</v>
      </c>
      <c r="C47" s="78">
        <f t="shared" si="5"/>
        <v>1800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  <c r="KK47" s="4"/>
      <c r="KL47" s="4"/>
      <c r="KM47" s="4"/>
      <c r="KN47" s="4"/>
      <c r="KO47" s="4"/>
      <c r="KP47" s="4"/>
      <c r="KQ47" s="4"/>
      <c r="KR47" s="4"/>
      <c r="KS47" s="4"/>
      <c r="KT47" s="4"/>
      <c r="KU47" s="4"/>
      <c r="KV47" s="4"/>
      <c r="KW47" s="4"/>
      <c r="KX47" s="4"/>
      <c r="KY47" s="4"/>
      <c r="KZ47" s="4"/>
      <c r="LA47" s="4"/>
      <c r="LB47" s="4"/>
      <c r="LC47" s="4"/>
      <c r="LD47" s="4"/>
    </row>
    <row r="48" spans="1:316" s="15" customFormat="1" x14ac:dyDescent="0.3">
      <c r="A48" s="80" t="s">
        <v>162</v>
      </c>
      <c r="B48" s="65">
        <v>250</v>
      </c>
      <c r="C48" s="25">
        <f t="shared" si="5"/>
        <v>3000</v>
      </c>
      <c r="D48"/>
      <c r="E48"/>
      <c r="F48"/>
      <c r="G48"/>
      <c r="H48"/>
      <c r="I48"/>
      <c r="J48"/>
      <c r="K48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  <c r="KK48" s="4"/>
      <c r="KL48" s="4"/>
      <c r="KM48" s="4"/>
      <c r="KN48" s="4"/>
      <c r="KO48" s="4"/>
      <c r="KP48" s="4"/>
      <c r="KQ48" s="4"/>
      <c r="KR48" s="4"/>
      <c r="KS48" s="4"/>
      <c r="KT48" s="4"/>
      <c r="KU48" s="4"/>
      <c r="KV48" s="4"/>
      <c r="KW48" s="4"/>
      <c r="KX48" s="4"/>
      <c r="KY48" s="4"/>
      <c r="KZ48" s="4"/>
      <c r="LA48" s="4"/>
      <c r="LB48" s="4"/>
      <c r="LC48" s="4"/>
      <c r="LD48" s="4"/>
    </row>
    <row r="49" spans="1:316" ht="15" thickBot="1" x14ac:dyDescent="0.35">
      <c r="A49" s="79" t="s">
        <v>163</v>
      </c>
      <c r="B49" s="68">
        <v>685</v>
      </c>
      <c r="C49" s="78">
        <f t="shared" si="5"/>
        <v>8220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  <c r="KK49" s="4"/>
      <c r="KL49" s="4"/>
      <c r="KM49" s="4"/>
      <c r="KN49" s="4"/>
      <c r="KO49" s="4"/>
      <c r="KP49" s="4"/>
      <c r="KQ49" s="4"/>
      <c r="KR49" s="4"/>
      <c r="KS49" s="4"/>
      <c r="KT49" s="4"/>
      <c r="KU49" s="4"/>
      <c r="KV49" s="4"/>
      <c r="KW49" s="4"/>
      <c r="KX49" s="4"/>
      <c r="KY49" s="4"/>
      <c r="KZ49" s="4"/>
      <c r="LA49" s="4"/>
      <c r="LB49" s="4"/>
      <c r="LC49" s="4"/>
      <c r="LD49" s="4"/>
    </row>
    <row r="50" spans="1:316" s="15" customFormat="1" ht="15" thickBot="1" x14ac:dyDescent="0.35">
      <c r="A50" s="77" t="s">
        <v>4</v>
      </c>
      <c r="B50" s="76"/>
      <c r="C50" s="75">
        <f>SUM(C27:C49)</f>
        <v>107040</v>
      </c>
      <c r="D50"/>
      <c r="E50"/>
      <c r="F50"/>
      <c r="G50"/>
      <c r="H50"/>
      <c r="I50"/>
      <c r="J50"/>
      <c r="K50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  <c r="IY50" s="4"/>
      <c r="IZ50" s="4"/>
      <c r="JA50" s="4"/>
      <c r="JB50" s="4"/>
      <c r="JC50" s="4"/>
      <c r="JD50" s="4"/>
      <c r="JE50" s="4"/>
      <c r="JF50" s="4"/>
      <c r="JG50" s="4"/>
      <c r="JH50" s="4"/>
      <c r="JI50" s="4"/>
      <c r="JJ50" s="4"/>
      <c r="JK50" s="4"/>
      <c r="JL50" s="4"/>
      <c r="JM50" s="4"/>
      <c r="JN50" s="4"/>
      <c r="JO50" s="4"/>
      <c r="JP50" s="4"/>
      <c r="JQ50" s="4"/>
      <c r="JR50" s="4"/>
      <c r="JS50" s="4"/>
      <c r="JT50" s="4"/>
      <c r="JU50" s="4"/>
      <c r="JV50" s="4"/>
      <c r="JW50" s="4"/>
      <c r="JX50" s="4"/>
      <c r="JY50" s="4"/>
      <c r="JZ50" s="4"/>
      <c r="KA50" s="4"/>
      <c r="KB50" s="4"/>
      <c r="KC50" s="4"/>
      <c r="KD50" s="4"/>
      <c r="KE50" s="4"/>
      <c r="KF50" s="4"/>
      <c r="KG50" s="4"/>
      <c r="KH50" s="4"/>
      <c r="KI50" s="4"/>
      <c r="KJ50" s="4"/>
      <c r="KK50" s="4"/>
      <c r="KL50" s="4"/>
      <c r="KM50" s="4"/>
      <c r="KN50" s="4"/>
      <c r="KO50" s="4"/>
      <c r="KP50" s="4"/>
      <c r="KQ50" s="4"/>
      <c r="KR50" s="4"/>
      <c r="KS50" s="4"/>
      <c r="KT50" s="4"/>
      <c r="KU50" s="4"/>
      <c r="KV50" s="4"/>
      <c r="KW50" s="4"/>
      <c r="KX50" s="4"/>
      <c r="KY50" s="4"/>
      <c r="KZ50" s="4"/>
      <c r="LA50" s="4"/>
      <c r="LB50" s="4"/>
      <c r="LC50" s="4"/>
      <c r="LD50" s="4"/>
    </row>
    <row r="51" spans="1:316" ht="15" thickBot="1" x14ac:dyDescent="0.35">
      <c r="D51" s="4"/>
      <c r="E51" s="4"/>
      <c r="F51" s="4"/>
      <c r="G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  <c r="IY51" s="4"/>
      <c r="IZ51" s="4"/>
      <c r="JA51" s="4"/>
      <c r="JB51" s="4"/>
      <c r="JC51" s="4"/>
      <c r="JD51" s="4"/>
      <c r="JE51" s="4"/>
      <c r="JF51" s="4"/>
      <c r="JG51" s="4"/>
      <c r="JH51" s="4"/>
      <c r="JI51" s="4"/>
      <c r="JJ51" s="4"/>
      <c r="JK51" s="4"/>
      <c r="JL51" s="4"/>
      <c r="JM51" s="4"/>
      <c r="JN51" s="4"/>
      <c r="JO51" s="4"/>
      <c r="JP51" s="4"/>
      <c r="JQ51" s="4"/>
      <c r="JR51" s="4"/>
      <c r="JS51" s="4"/>
      <c r="JT51" s="4"/>
      <c r="JU51" s="4"/>
      <c r="JV51" s="4"/>
      <c r="JW51" s="4"/>
      <c r="JX51" s="4"/>
      <c r="JY51" s="4"/>
      <c r="JZ51" s="4"/>
      <c r="KA51" s="4"/>
      <c r="KB51" s="4"/>
      <c r="KC51" s="4"/>
      <c r="KD51" s="4"/>
      <c r="KE51" s="4"/>
      <c r="KF51" s="4"/>
      <c r="KG51" s="4"/>
      <c r="KH51" s="4"/>
      <c r="KI51" s="4"/>
      <c r="KJ51" s="4"/>
      <c r="KK51" s="4"/>
      <c r="KL51" s="4"/>
      <c r="KM51" s="4"/>
      <c r="KN51" s="4"/>
      <c r="KO51" s="4"/>
      <c r="KP51" s="4"/>
      <c r="KQ51" s="4"/>
      <c r="KR51" s="4"/>
      <c r="KS51" s="4"/>
      <c r="KT51" s="4"/>
      <c r="KU51" s="4"/>
      <c r="KV51" s="4"/>
      <c r="KW51" s="4"/>
      <c r="KX51" s="4"/>
      <c r="KY51" s="4"/>
      <c r="KZ51" s="4"/>
      <c r="LA51" s="4"/>
      <c r="LB51" s="4"/>
      <c r="LC51" s="4"/>
      <c r="LD51" s="4"/>
    </row>
    <row r="52" spans="1:316" s="15" customFormat="1" x14ac:dyDescent="0.3">
      <c r="A52" s="74" t="s">
        <v>164</v>
      </c>
      <c r="B52" s="74" t="s">
        <v>17</v>
      </c>
      <c r="C52" s="74" t="s">
        <v>18</v>
      </c>
      <c r="D52" s="74" t="s">
        <v>165</v>
      </c>
      <c r="E52" s="74" t="s">
        <v>140</v>
      </c>
      <c r="F52" s="74" t="s">
        <v>166</v>
      </c>
      <c r="G52" s="73" t="s">
        <v>167</v>
      </c>
      <c r="H52"/>
      <c r="I52"/>
      <c r="J52"/>
      <c r="K52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  <c r="IY52" s="4"/>
      <c r="IZ52" s="4"/>
      <c r="JA52" s="4"/>
      <c r="JB52" s="4"/>
      <c r="JC52" s="4"/>
      <c r="JD52" s="4"/>
      <c r="JE52" s="4"/>
      <c r="JF52" s="4"/>
      <c r="JG52" s="4"/>
      <c r="JH52" s="4"/>
      <c r="JI52" s="4"/>
      <c r="JJ52" s="4"/>
      <c r="JK52" s="4"/>
      <c r="JL52" s="4"/>
      <c r="JM52" s="4"/>
      <c r="JN52" s="4"/>
      <c r="JO52" s="4"/>
      <c r="JP52" s="4"/>
      <c r="JQ52" s="4"/>
      <c r="JR52" s="4"/>
      <c r="JS52" s="4"/>
      <c r="JT52" s="4"/>
      <c r="JU52" s="4"/>
      <c r="JV52" s="4"/>
      <c r="JW52" s="4"/>
      <c r="JX52" s="4"/>
      <c r="JY52" s="4"/>
      <c r="JZ52" s="4"/>
      <c r="KA52" s="4"/>
      <c r="KB52" s="4"/>
      <c r="KC52" s="4"/>
      <c r="KD52" s="4"/>
      <c r="KE52" s="4"/>
      <c r="KF52" s="4"/>
      <c r="KG52" s="4"/>
      <c r="KH52" s="4"/>
      <c r="KI52" s="4"/>
      <c r="KJ52" s="4"/>
      <c r="KK52" s="4"/>
      <c r="KL52" s="4"/>
      <c r="KM52" s="4"/>
      <c r="KN52" s="4"/>
      <c r="KO52" s="4"/>
      <c r="KP52" s="4"/>
      <c r="KQ52" s="4"/>
      <c r="KR52" s="4"/>
      <c r="KS52" s="4"/>
      <c r="KT52" s="4"/>
      <c r="KU52" s="4"/>
      <c r="KV52" s="4"/>
      <c r="KW52" s="4"/>
      <c r="KX52" s="4"/>
      <c r="KY52" s="4"/>
      <c r="KZ52" s="4"/>
      <c r="LA52" s="4"/>
      <c r="LB52" s="4"/>
      <c r="LC52" s="4"/>
      <c r="LD52" s="4"/>
    </row>
    <row r="53" spans="1:316" x14ac:dyDescent="0.3">
      <c r="A53" s="32" t="s">
        <v>170</v>
      </c>
      <c r="B53" s="67">
        <v>1</v>
      </c>
      <c r="C53" s="68">
        <v>8000</v>
      </c>
      <c r="D53" s="31">
        <f t="shared" ref="D53:D60" si="6">C53*B53</f>
        <v>8000</v>
      </c>
      <c r="E53" s="31">
        <f>D53</f>
        <v>8000</v>
      </c>
      <c r="F53" s="67" t="s">
        <v>168</v>
      </c>
      <c r="G53" s="66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  <c r="IY53" s="4"/>
      <c r="IZ53" s="4"/>
      <c r="JA53" s="4"/>
      <c r="JB53" s="4"/>
      <c r="JC53" s="4"/>
      <c r="JD53" s="4"/>
      <c r="JE53" s="4"/>
      <c r="JF53" s="4"/>
      <c r="JG53" s="4"/>
      <c r="JH53" s="4"/>
      <c r="JI53" s="4"/>
      <c r="JJ53" s="4"/>
      <c r="JK53" s="4"/>
      <c r="JL53" s="4"/>
      <c r="JM53" s="4"/>
      <c r="JN53" s="4"/>
      <c r="JO53" s="4"/>
      <c r="JP53" s="4"/>
      <c r="JQ53" s="4"/>
      <c r="JR53" s="4"/>
      <c r="JS53" s="4"/>
      <c r="JT53" s="4"/>
      <c r="JU53" s="4"/>
      <c r="JV53" s="4"/>
      <c r="JW53" s="4"/>
      <c r="JX53" s="4"/>
      <c r="JY53" s="4"/>
      <c r="JZ53" s="4"/>
      <c r="KA53" s="4"/>
      <c r="KB53" s="4"/>
      <c r="KC53" s="4"/>
      <c r="KD53" s="4"/>
      <c r="KE53" s="4"/>
      <c r="KF53" s="4"/>
      <c r="KG53" s="4"/>
      <c r="KH53" s="4"/>
      <c r="KI53" s="4"/>
      <c r="KJ53" s="4"/>
      <c r="KK53" s="4"/>
      <c r="KL53" s="4"/>
      <c r="KM53" s="4"/>
      <c r="KN53" s="4"/>
      <c r="KO53" s="4"/>
      <c r="KP53" s="4"/>
      <c r="KQ53" s="4"/>
      <c r="KR53" s="4"/>
      <c r="KS53" s="4"/>
      <c r="KT53" s="4"/>
      <c r="KU53" s="4"/>
      <c r="KV53" s="4"/>
      <c r="KW53" s="4"/>
      <c r="KX53" s="4"/>
      <c r="KY53" s="4"/>
      <c r="KZ53" s="4"/>
      <c r="LA53" s="4"/>
      <c r="LB53" s="4"/>
      <c r="LC53" s="4"/>
      <c r="LD53" s="4"/>
    </row>
    <row r="54" spans="1:316" s="15" customFormat="1" x14ac:dyDescent="0.3">
      <c r="A54" s="29" t="s">
        <v>171</v>
      </c>
      <c r="B54" s="64">
        <v>3</v>
      </c>
      <c r="C54" s="65">
        <v>1000</v>
      </c>
      <c r="D54" s="28">
        <f t="shared" si="6"/>
        <v>3000</v>
      </c>
      <c r="E54" s="28">
        <f>D54/G54</f>
        <v>750</v>
      </c>
      <c r="F54" s="70" t="s">
        <v>169</v>
      </c>
      <c r="G54" s="69">
        <v>4</v>
      </c>
      <c r="H54"/>
      <c r="I54"/>
      <c r="J54"/>
      <c r="K5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  <c r="KK54" s="4"/>
      <c r="KL54" s="4"/>
      <c r="KM54" s="4"/>
      <c r="KN54" s="4"/>
      <c r="KO54" s="4"/>
      <c r="KP54" s="4"/>
      <c r="KQ54" s="4"/>
      <c r="KR54" s="4"/>
      <c r="KS54" s="4"/>
      <c r="KT54" s="4"/>
      <c r="KU54" s="4"/>
      <c r="KV54" s="4"/>
      <c r="KW54" s="4"/>
      <c r="KX54" s="4"/>
      <c r="KY54" s="4"/>
      <c r="KZ54" s="4"/>
      <c r="LA54" s="4"/>
      <c r="LB54" s="4"/>
      <c r="LC54" s="4"/>
      <c r="LD54" s="4"/>
    </row>
    <row r="55" spans="1:316" x14ac:dyDescent="0.3">
      <c r="A55" s="32" t="s">
        <v>172</v>
      </c>
      <c r="B55" s="67">
        <v>6</v>
      </c>
      <c r="C55" s="68">
        <v>1400</v>
      </c>
      <c r="D55" s="31">
        <f t="shared" si="6"/>
        <v>8400</v>
      </c>
      <c r="E55" s="31">
        <f>D55/G55</f>
        <v>2100</v>
      </c>
      <c r="F55" s="72" t="s">
        <v>169</v>
      </c>
      <c r="G55" s="71">
        <v>4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</row>
    <row r="56" spans="1:316" s="15" customFormat="1" x14ac:dyDescent="0.3">
      <c r="A56" s="29" t="s">
        <v>173</v>
      </c>
      <c r="B56" s="64">
        <v>5</v>
      </c>
      <c r="C56" s="65">
        <v>1500</v>
      </c>
      <c r="D56" s="28">
        <f t="shared" si="6"/>
        <v>7500</v>
      </c>
      <c r="E56" s="28">
        <f>D56/G56</f>
        <v>1875</v>
      </c>
      <c r="F56" s="70" t="s">
        <v>169</v>
      </c>
      <c r="G56" s="69">
        <v>4</v>
      </c>
      <c r="H56"/>
      <c r="I56"/>
      <c r="J56"/>
      <c r="K56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  <c r="IY56" s="4"/>
      <c r="IZ56" s="4"/>
      <c r="JA56" s="4"/>
      <c r="JB56" s="4"/>
      <c r="JC56" s="4"/>
      <c r="JD56" s="4"/>
      <c r="JE56" s="4"/>
      <c r="JF56" s="4"/>
      <c r="JG56" s="4"/>
      <c r="JH56" s="4"/>
      <c r="JI56" s="4"/>
      <c r="JJ56" s="4"/>
      <c r="JK56" s="4"/>
      <c r="JL56" s="4"/>
      <c r="JM56" s="4"/>
      <c r="JN56" s="4"/>
      <c r="JO56" s="4"/>
      <c r="JP56" s="4"/>
      <c r="JQ56" s="4"/>
      <c r="JR56" s="4"/>
      <c r="JS56" s="4"/>
      <c r="JT56" s="4"/>
      <c r="JU56" s="4"/>
      <c r="JV56" s="4"/>
      <c r="JW56" s="4"/>
      <c r="JX56" s="4"/>
      <c r="JY56" s="4"/>
      <c r="JZ56" s="4"/>
      <c r="KA56" s="4"/>
      <c r="KB56" s="4"/>
      <c r="KC56" s="4"/>
      <c r="KD56" s="4"/>
      <c r="KE56" s="4"/>
      <c r="KF56" s="4"/>
      <c r="KG56" s="4"/>
      <c r="KH56" s="4"/>
      <c r="KI56" s="4"/>
      <c r="KJ56" s="4"/>
      <c r="KK56" s="4"/>
      <c r="KL56" s="4"/>
      <c r="KM56" s="4"/>
      <c r="KN56" s="4"/>
      <c r="KO56" s="4"/>
      <c r="KP56" s="4"/>
      <c r="KQ56" s="4"/>
      <c r="KR56" s="4"/>
      <c r="KS56" s="4"/>
      <c r="KT56" s="4"/>
      <c r="KU56" s="4"/>
      <c r="KV56" s="4"/>
      <c r="KW56" s="4"/>
      <c r="KX56" s="4"/>
      <c r="KY56" s="4"/>
      <c r="KZ56" s="4"/>
      <c r="LA56" s="4"/>
      <c r="LB56" s="4"/>
      <c r="LC56" s="4"/>
      <c r="LD56" s="4"/>
    </row>
    <row r="57" spans="1:316" x14ac:dyDescent="0.3">
      <c r="A57" s="32" t="s">
        <v>174</v>
      </c>
      <c r="B57" s="67">
        <v>10</v>
      </c>
      <c r="C57" s="68">
        <v>200</v>
      </c>
      <c r="D57" s="31">
        <f t="shared" si="6"/>
        <v>2000</v>
      </c>
      <c r="E57" s="31">
        <f>D57</f>
        <v>2000</v>
      </c>
      <c r="F57" s="67" t="s">
        <v>168</v>
      </c>
      <c r="G57" s="66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  <c r="IY57" s="4"/>
      <c r="IZ57" s="4"/>
      <c r="JA57" s="4"/>
      <c r="JB57" s="4"/>
      <c r="JC57" s="4"/>
      <c r="JD57" s="4"/>
      <c r="JE57" s="4"/>
      <c r="JF57" s="4"/>
      <c r="JG57" s="4"/>
      <c r="JH57" s="4"/>
      <c r="JI57" s="4"/>
      <c r="JJ57" s="4"/>
      <c r="JK57" s="4"/>
      <c r="JL57" s="4"/>
      <c r="JM57" s="4"/>
      <c r="JN57" s="4"/>
      <c r="JO57" s="4"/>
      <c r="JP57" s="4"/>
      <c r="JQ57" s="4"/>
      <c r="JR57" s="4"/>
      <c r="JS57" s="4"/>
      <c r="JT57" s="4"/>
      <c r="JU57" s="4"/>
      <c r="JV57" s="4"/>
      <c r="JW57" s="4"/>
      <c r="JX57" s="4"/>
      <c r="JY57" s="4"/>
      <c r="JZ57" s="4"/>
      <c r="KA57" s="4"/>
      <c r="KB57" s="4"/>
      <c r="KC57" s="4"/>
      <c r="KD57" s="4"/>
      <c r="KE57" s="4"/>
      <c r="KF57" s="4"/>
      <c r="KG57" s="4"/>
      <c r="KH57" s="4"/>
      <c r="KI57" s="4"/>
      <c r="KJ57" s="4"/>
      <c r="KK57" s="4"/>
      <c r="KL57" s="4"/>
      <c r="KM57" s="4"/>
      <c r="KN57" s="4"/>
      <c r="KO57" s="4"/>
      <c r="KP57" s="4"/>
      <c r="KQ57" s="4"/>
      <c r="KR57" s="4"/>
      <c r="KS57" s="4"/>
      <c r="KT57" s="4"/>
      <c r="KU57" s="4"/>
      <c r="KV57" s="4"/>
      <c r="KW57" s="4"/>
      <c r="KX57" s="4"/>
      <c r="KY57" s="4"/>
      <c r="KZ57" s="4"/>
      <c r="LA57" s="4"/>
      <c r="LB57" s="4"/>
      <c r="LC57" s="4"/>
      <c r="LD57" s="4"/>
    </row>
    <row r="58" spans="1:316" s="15" customFormat="1" x14ac:dyDescent="0.3">
      <c r="A58" s="29" t="s">
        <v>175</v>
      </c>
      <c r="B58" s="64">
        <v>1</v>
      </c>
      <c r="C58" s="65">
        <v>99</v>
      </c>
      <c r="D58" s="28">
        <f t="shared" si="6"/>
        <v>99</v>
      </c>
      <c r="E58" s="28">
        <f>D58</f>
        <v>99</v>
      </c>
      <c r="F58" s="64" t="s">
        <v>168</v>
      </c>
      <c r="G58" s="40"/>
      <c r="H58"/>
      <c r="I58"/>
      <c r="J58"/>
      <c r="K58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  <c r="IY58" s="4"/>
      <c r="IZ58" s="4"/>
      <c r="JA58" s="4"/>
      <c r="JB58" s="4"/>
      <c r="JC58" s="4"/>
      <c r="JD58" s="4"/>
      <c r="JE58" s="4"/>
      <c r="JF58" s="4"/>
      <c r="JG58" s="4"/>
      <c r="JH58" s="4"/>
      <c r="JI58" s="4"/>
      <c r="JJ58" s="4"/>
      <c r="JK58" s="4"/>
      <c r="JL58" s="4"/>
      <c r="JM58" s="4"/>
      <c r="JN58" s="4"/>
      <c r="JO58" s="4"/>
      <c r="JP58" s="4"/>
      <c r="JQ58" s="4"/>
      <c r="JR58" s="4"/>
      <c r="JS58" s="4"/>
      <c r="JT58" s="4"/>
      <c r="JU58" s="4"/>
      <c r="JV58" s="4"/>
      <c r="JW58" s="4"/>
      <c r="JX58" s="4"/>
      <c r="JY58" s="4"/>
      <c r="JZ58" s="4"/>
      <c r="KA58" s="4"/>
      <c r="KB58" s="4"/>
      <c r="KC58" s="4"/>
      <c r="KD58" s="4"/>
      <c r="KE58" s="4"/>
      <c r="KF58" s="4"/>
      <c r="KG58" s="4"/>
      <c r="KH58" s="4"/>
      <c r="KI58" s="4"/>
      <c r="KJ58" s="4"/>
      <c r="KK58" s="4"/>
      <c r="KL58" s="4"/>
      <c r="KM58" s="4"/>
      <c r="KN58" s="4"/>
      <c r="KO58" s="4"/>
      <c r="KP58" s="4"/>
      <c r="KQ58" s="4"/>
      <c r="KR58" s="4"/>
      <c r="KS58" s="4"/>
      <c r="KT58" s="4"/>
      <c r="KU58" s="4"/>
      <c r="KV58" s="4"/>
      <c r="KW58" s="4"/>
      <c r="KX58" s="4"/>
      <c r="KY58" s="4"/>
      <c r="KZ58" s="4"/>
      <c r="LA58" s="4"/>
      <c r="LB58" s="4"/>
      <c r="LC58" s="4"/>
      <c r="LD58" s="4"/>
    </row>
    <row r="59" spans="1:316" x14ac:dyDescent="0.3">
      <c r="A59" s="32" t="s">
        <v>176</v>
      </c>
      <c r="B59" s="67">
        <v>1</v>
      </c>
      <c r="C59" s="68">
        <v>25</v>
      </c>
      <c r="D59" s="31">
        <f t="shared" si="6"/>
        <v>25</v>
      </c>
      <c r="E59" s="31">
        <f>D59</f>
        <v>25</v>
      </c>
      <c r="F59" s="67" t="s">
        <v>168</v>
      </c>
      <c r="G59" s="66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  <c r="IY59" s="4"/>
      <c r="IZ59" s="4"/>
      <c r="JA59" s="4"/>
      <c r="JB59" s="4"/>
      <c r="JC59" s="4"/>
      <c r="JD59" s="4"/>
      <c r="JE59" s="4"/>
      <c r="JF59" s="4"/>
      <c r="JG59" s="4"/>
      <c r="JH59" s="4"/>
      <c r="JI59" s="4"/>
      <c r="JJ59" s="4"/>
      <c r="JK59" s="4"/>
      <c r="JL59" s="4"/>
      <c r="JM59" s="4"/>
      <c r="JN59" s="4"/>
      <c r="JO59" s="4"/>
      <c r="JP59" s="4"/>
      <c r="JQ59" s="4"/>
      <c r="JR59" s="4"/>
      <c r="JS59" s="4"/>
      <c r="JT59" s="4"/>
      <c r="JU59" s="4"/>
      <c r="JV59" s="4"/>
      <c r="JW59" s="4"/>
      <c r="JX59" s="4"/>
      <c r="JY59" s="4"/>
      <c r="JZ59" s="4"/>
      <c r="KA59" s="4"/>
      <c r="KB59" s="4"/>
      <c r="KC59" s="4"/>
      <c r="KD59" s="4"/>
      <c r="KE59" s="4"/>
      <c r="KF59" s="4"/>
      <c r="KG59" s="4"/>
      <c r="KH59" s="4"/>
      <c r="KI59" s="4"/>
      <c r="KJ59" s="4"/>
      <c r="KK59" s="4"/>
      <c r="KL59" s="4"/>
      <c r="KM59" s="4"/>
      <c r="KN59" s="4"/>
      <c r="KO59" s="4"/>
      <c r="KP59" s="4"/>
      <c r="KQ59" s="4"/>
      <c r="KR59" s="4"/>
      <c r="KS59" s="4"/>
      <c r="KT59" s="4"/>
      <c r="KU59" s="4"/>
      <c r="KV59" s="4"/>
      <c r="KW59" s="4"/>
      <c r="KX59" s="4"/>
      <c r="KY59" s="4"/>
      <c r="KZ59" s="4"/>
      <c r="LA59" s="4"/>
      <c r="LB59" s="4"/>
      <c r="LC59" s="4"/>
      <c r="LD59" s="4"/>
    </row>
    <row r="60" spans="1:316" s="15" customFormat="1" ht="15" thickBot="1" x14ac:dyDescent="0.35">
      <c r="A60" s="29" t="s">
        <v>177</v>
      </c>
      <c r="B60" s="64">
        <v>14</v>
      </c>
      <c r="C60" s="65">
        <v>120</v>
      </c>
      <c r="D60" s="28">
        <f t="shared" si="6"/>
        <v>1680</v>
      </c>
      <c r="E60" s="28">
        <f>D60</f>
        <v>1680</v>
      </c>
      <c r="F60" s="64" t="s">
        <v>168</v>
      </c>
      <c r="G60" s="40"/>
      <c r="H60"/>
      <c r="I60"/>
      <c r="J60"/>
      <c r="K60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  <c r="IY60" s="4"/>
      <c r="IZ60" s="4"/>
      <c r="JA60" s="4"/>
      <c r="JB60" s="4"/>
      <c r="JC60" s="4"/>
      <c r="JD60" s="4"/>
      <c r="JE60" s="4"/>
      <c r="JF60" s="4"/>
      <c r="JG60" s="4"/>
      <c r="JH60" s="4"/>
      <c r="JI60" s="4"/>
      <c r="JJ60" s="4"/>
      <c r="JK60" s="4"/>
      <c r="JL60" s="4"/>
      <c r="JM60" s="4"/>
      <c r="JN60" s="4"/>
      <c r="JO60" s="4"/>
      <c r="JP60" s="4"/>
      <c r="JQ60" s="4"/>
      <c r="JR60" s="4"/>
      <c r="JS60" s="4"/>
      <c r="JT60" s="4"/>
      <c r="JU60" s="4"/>
      <c r="JV60" s="4"/>
      <c r="JW60" s="4"/>
      <c r="JX60" s="4"/>
      <c r="JY60" s="4"/>
      <c r="JZ60" s="4"/>
      <c r="KA60" s="4"/>
      <c r="KB60" s="4"/>
      <c r="KC60" s="4"/>
      <c r="KD60" s="4"/>
      <c r="KE60" s="4"/>
      <c r="KF60" s="4"/>
      <c r="KG60" s="4"/>
      <c r="KH60" s="4"/>
      <c r="KI60" s="4"/>
      <c r="KJ60" s="4"/>
      <c r="KK60" s="4"/>
      <c r="KL60" s="4"/>
      <c r="KM60" s="4"/>
      <c r="KN60" s="4"/>
      <c r="KO60" s="4"/>
      <c r="KP60" s="4"/>
      <c r="KQ60" s="4"/>
      <c r="KR60" s="4"/>
      <c r="KS60" s="4"/>
      <c r="KT60" s="4"/>
      <c r="KU60" s="4"/>
      <c r="KV60" s="4"/>
      <c r="KW60" s="4"/>
      <c r="KX60" s="4"/>
      <c r="KY60" s="4"/>
      <c r="KZ60" s="4"/>
      <c r="LA60" s="4"/>
      <c r="LB60" s="4"/>
      <c r="LC60" s="4"/>
      <c r="LD60" s="4"/>
    </row>
    <row r="61" spans="1:316" ht="15" thickBot="1" x14ac:dyDescent="0.35">
      <c r="A61" s="63" t="s">
        <v>4</v>
      </c>
      <c r="B61" s="61"/>
      <c r="C61" s="61"/>
      <c r="D61" s="62">
        <f>SUM(D54:D60)</f>
        <v>22704</v>
      </c>
      <c r="E61" s="62">
        <f>SUM(E53:E60)</f>
        <v>16529</v>
      </c>
      <c r="F61" s="61"/>
      <c r="G61" s="60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  <c r="IY61" s="4"/>
      <c r="IZ61" s="4"/>
      <c r="JA61" s="4"/>
      <c r="JB61" s="4"/>
      <c r="JC61" s="4"/>
      <c r="JD61" s="4"/>
      <c r="JE61" s="4"/>
      <c r="JF61" s="4"/>
      <c r="JG61" s="4"/>
      <c r="JH61" s="4"/>
      <c r="JI61" s="4"/>
      <c r="JJ61" s="4"/>
      <c r="JK61" s="4"/>
      <c r="JL61" s="4"/>
      <c r="JM61" s="4"/>
      <c r="JN61" s="4"/>
      <c r="JO61" s="4"/>
      <c r="JP61" s="4"/>
      <c r="JQ61" s="4"/>
      <c r="JR61" s="4"/>
      <c r="JS61" s="4"/>
      <c r="JT61" s="4"/>
      <c r="JU61" s="4"/>
      <c r="JV61" s="4"/>
      <c r="JW61" s="4"/>
      <c r="JX61" s="4"/>
      <c r="JY61" s="4"/>
      <c r="JZ61" s="4"/>
      <c r="KA61" s="4"/>
      <c r="KB61" s="4"/>
      <c r="KC61" s="4"/>
      <c r="KD61" s="4"/>
      <c r="KE61" s="4"/>
      <c r="KF61" s="4"/>
      <c r="KG61" s="4"/>
      <c r="KH61" s="4"/>
      <c r="KI61" s="4"/>
      <c r="KJ61" s="4"/>
      <c r="KK61" s="4"/>
      <c r="KL61" s="4"/>
      <c r="KM61" s="4"/>
      <c r="KN61" s="4"/>
      <c r="KO61" s="4"/>
      <c r="KP61" s="4"/>
      <c r="KQ61" s="4"/>
      <c r="KR61" s="4"/>
      <c r="KS61" s="4"/>
      <c r="KT61" s="4"/>
      <c r="KU61" s="4"/>
      <c r="KV61" s="4"/>
      <c r="KW61" s="4"/>
      <c r="KX61" s="4"/>
      <c r="KY61" s="4"/>
      <c r="KZ61" s="4"/>
      <c r="LA61" s="4"/>
      <c r="LB61" s="4"/>
      <c r="LC61" s="4"/>
      <c r="LD61" s="4"/>
    </row>
    <row r="62" spans="1:316" ht="15" thickBot="1" x14ac:dyDescent="0.35">
      <c r="A62" s="3"/>
      <c r="B62" s="4"/>
      <c r="C62" s="4"/>
      <c r="D62" s="4"/>
      <c r="E62" s="4"/>
      <c r="F62" s="4"/>
      <c r="G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  <c r="KK62" s="4"/>
      <c r="KL62" s="4"/>
      <c r="KM62" s="4"/>
      <c r="KN62" s="4"/>
      <c r="KO62" s="4"/>
      <c r="KP62" s="4"/>
      <c r="KQ62" s="4"/>
      <c r="KR62" s="4"/>
      <c r="KS62" s="4"/>
      <c r="KT62" s="4"/>
      <c r="KU62" s="4"/>
      <c r="KV62" s="4"/>
      <c r="KW62" s="4"/>
      <c r="KX62" s="4"/>
      <c r="KY62" s="4"/>
      <c r="KZ62" s="4"/>
      <c r="LA62" s="4"/>
      <c r="LB62" s="4"/>
      <c r="LC62" s="4"/>
      <c r="LD62" s="4"/>
    </row>
    <row r="63" spans="1:316" ht="43.2" x14ac:dyDescent="0.3">
      <c r="A63" s="59" t="s">
        <v>117</v>
      </c>
      <c r="B63" s="58" t="s">
        <v>112</v>
      </c>
      <c r="C63" s="58" t="s">
        <v>178</v>
      </c>
      <c r="D63" s="58" t="s">
        <v>179</v>
      </c>
      <c r="E63" s="57" t="s">
        <v>180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  <c r="IY63" s="4"/>
      <c r="IZ63" s="4"/>
      <c r="JA63" s="4"/>
      <c r="JB63" s="4"/>
      <c r="JC63" s="4"/>
      <c r="JD63" s="4"/>
      <c r="JE63" s="4"/>
      <c r="JF63" s="4"/>
      <c r="JG63" s="4"/>
      <c r="JH63" s="4"/>
      <c r="JI63" s="4"/>
      <c r="JJ63" s="4"/>
      <c r="JK63" s="4"/>
      <c r="JL63" s="4"/>
      <c r="JM63" s="4"/>
      <c r="JN63" s="4"/>
      <c r="JO63" s="4"/>
      <c r="JP63" s="4"/>
      <c r="JQ63" s="4"/>
      <c r="JR63" s="4"/>
      <c r="JS63" s="4"/>
      <c r="JT63" s="4"/>
      <c r="JU63" s="4"/>
      <c r="JV63" s="4"/>
      <c r="JW63" s="4"/>
      <c r="JX63" s="4"/>
      <c r="JY63" s="4"/>
      <c r="JZ63" s="4"/>
      <c r="KA63" s="4"/>
      <c r="KB63" s="4"/>
      <c r="KC63" s="4"/>
      <c r="KD63" s="4"/>
      <c r="KE63" s="4"/>
      <c r="KF63" s="4"/>
      <c r="KG63" s="4"/>
      <c r="KH63" s="4"/>
      <c r="KI63" s="4"/>
      <c r="KJ63" s="4"/>
      <c r="KK63" s="4"/>
      <c r="KL63" s="4"/>
      <c r="KM63" s="4"/>
      <c r="KN63" s="4"/>
      <c r="KO63" s="4"/>
      <c r="KP63" s="4"/>
      <c r="KQ63" s="4"/>
      <c r="KR63" s="4"/>
      <c r="KS63" s="4"/>
      <c r="KT63" s="4"/>
      <c r="KU63" s="4"/>
      <c r="KV63" s="4"/>
      <c r="KW63" s="4"/>
      <c r="KX63" s="4"/>
      <c r="KY63" s="4"/>
      <c r="KZ63" s="4"/>
      <c r="LA63" s="4"/>
      <c r="LB63" s="4"/>
      <c r="LC63" s="4"/>
      <c r="LD63" s="4"/>
    </row>
    <row r="64" spans="1:316" s="15" customFormat="1" x14ac:dyDescent="0.3">
      <c r="A64" s="29" t="s">
        <v>118</v>
      </c>
      <c r="B64" s="56">
        <f t="shared" ref="B64:B72" si="7">C15</f>
        <v>0</v>
      </c>
      <c r="C64" s="54"/>
      <c r="D64" s="54"/>
      <c r="E64" s="53">
        <f t="shared" ref="E64:E72" si="8">D64*B2</f>
        <v>0</v>
      </c>
      <c r="F64"/>
      <c r="G64"/>
      <c r="H64"/>
      <c r="I64"/>
      <c r="J64"/>
      <c r="K6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  <c r="IY64" s="4"/>
      <c r="IZ64" s="4"/>
      <c r="JA64" s="4"/>
      <c r="JB64" s="4"/>
      <c r="JC64" s="4"/>
      <c r="JD64" s="4"/>
      <c r="JE64" s="4"/>
      <c r="JF64" s="4"/>
      <c r="JG64" s="4"/>
      <c r="JH64" s="4"/>
      <c r="JI64" s="4"/>
      <c r="JJ64" s="4"/>
      <c r="JK64" s="4"/>
      <c r="JL64" s="4"/>
      <c r="JM64" s="4"/>
      <c r="JN64" s="4"/>
      <c r="JO64" s="4"/>
      <c r="JP64" s="4"/>
      <c r="JQ64" s="4"/>
      <c r="JR64" s="4"/>
      <c r="JS64" s="4"/>
      <c r="JT64" s="4"/>
      <c r="JU64" s="4"/>
      <c r="JV64" s="4"/>
      <c r="JW64" s="4"/>
      <c r="JX64" s="4"/>
      <c r="JY64" s="4"/>
      <c r="JZ64" s="4"/>
      <c r="KA64" s="4"/>
      <c r="KB64" s="4"/>
      <c r="KC64" s="4"/>
      <c r="KD64" s="4"/>
      <c r="KE64" s="4"/>
      <c r="KF64" s="4"/>
      <c r="KG64" s="4"/>
      <c r="KH64" s="4"/>
      <c r="KI64" s="4"/>
      <c r="KJ64" s="4"/>
      <c r="KK64" s="4"/>
      <c r="KL64" s="4"/>
      <c r="KM64" s="4"/>
      <c r="KN64" s="4"/>
      <c r="KO64" s="4"/>
      <c r="KP64" s="4"/>
      <c r="KQ64" s="4"/>
      <c r="KR64" s="4"/>
      <c r="KS64" s="4"/>
      <c r="KT64" s="4"/>
      <c r="KU64" s="4"/>
      <c r="KV64" s="4"/>
      <c r="KW64" s="4"/>
      <c r="KX64" s="4"/>
      <c r="KY64" s="4"/>
      <c r="KZ64" s="4"/>
      <c r="LA64" s="4"/>
      <c r="LB64" s="4"/>
      <c r="LC64" s="4"/>
      <c r="LD64" s="4"/>
    </row>
    <row r="65" spans="1:316" x14ac:dyDescent="0.3">
      <c r="A65" s="32" t="s">
        <v>104</v>
      </c>
      <c r="B65" s="52">
        <f t="shared" si="7"/>
        <v>0.65</v>
      </c>
      <c r="C65" s="51">
        <v>2008</v>
      </c>
      <c r="D65" s="3">
        <f t="shared" ref="D65:D71" si="9">C65*B65</f>
        <v>1305.2</v>
      </c>
      <c r="E65" s="50">
        <f t="shared" si="8"/>
        <v>1305.2</v>
      </c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  <c r="IY65" s="4"/>
      <c r="IZ65" s="4"/>
      <c r="JA65" s="4"/>
      <c r="JB65" s="4"/>
      <c r="JC65" s="4"/>
      <c r="JD65" s="4"/>
      <c r="JE65" s="4"/>
      <c r="JF65" s="4"/>
      <c r="JG65" s="4"/>
      <c r="JH65" s="4"/>
      <c r="JI65" s="4"/>
      <c r="JJ65" s="4"/>
      <c r="JK65" s="4"/>
      <c r="JL65" s="4"/>
      <c r="JM65" s="4"/>
      <c r="JN65" s="4"/>
      <c r="JO65" s="4"/>
      <c r="JP65" s="4"/>
      <c r="JQ65" s="4"/>
      <c r="JR65" s="4"/>
      <c r="JS65" s="4"/>
      <c r="JT65" s="4"/>
      <c r="JU65" s="4"/>
      <c r="JV65" s="4"/>
      <c r="JW65" s="4"/>
      <c r="JX65" s="4"/>
      <c r="JY65" s="4"/>
      <c r="JZ65" s="4"/>
      <c r="KA65" s="4"/>
      <c r="KB65" s="4"/>
      <c r="KC65" s="4"/>
      <c r="KD65" s="4"/>
      <c r="KE65" s="4"/>
      <c r="KF65" s="4"/>
      <c r="KG65" s="4"/>
      <c r="KH65" s="4"/>
      <c r="KI65" s="4"/>
      <c r="KJ65" s="4"/>
      <c r="KK65" s="4"/>
      <c r="KL65" s="4"/>
      <c r="KM65" s="4"/>
      <c r="KN65" s="4"/>
      <c r="KO65" s="4"/>
      <c r="KP65" s="4"/>
      <c r="KQ65" s="4"/>
      <c r="KR65" s="4"/>
      <c r="KS65" s="4"/>
      <c r="KT65" s="4"/>
      <c r="KU65" s="4"/>
      <c r="KV65" s="4"/>
      <c r="KW65" s="4"/>
      <c r="KX65" s="4"/>
      <c r="KY65" s="4"/>
      <c r="KZ65" s="4"/>
      <c r="LA65" s="4"/>
      <c r="LB65" s="4"/>
      <c r="LC65" s="4"/>
      <c r="LD65" s="4"/>
    </row>
    <row r="66" spans="1:316" s="15" customFormat="1" x14ac:dyDescent="0.3">
      <c r="A66" s="29" t="s">
        <v>119</v>
      </c>
      <c r="B66" s="56">
        <f t="shared" si="7"/>
        <v>0.5</v>
      </c>
      <c r="C66" s="55">
        <v>2008</v>
      </c>
      <c r="D66" s="54">
        <f t="shared" si="9"/>
        <v>1004</v>
      </c>
      <c r="E66" s="53">
        <f t="shared" si="8"/>
        <v>1004</v>
      </c>
      <c r="F66"/>
      <c r="G66"/>
      <c r="H66"/>
      <c r="I66"/>
      <c r="J66"/>
      <c r="K66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  <c r="IY66" s="4"/>
      <c r="IZ66" s="4"/>
      <c r="JA66" s="4"/>
      <c r="JB66" s="4"/>
      <c r="JC66" s="4"/>
      <c r="JD66" s="4"/>
      <c r="JE66" s="4"/>
      <c r="JF66" s="4"/>
      <c r="JG66" s="4"/>
      <c r="JH66" s="4"/>
      <c r="JI66" s="4"/>
      <c r="JJ66" s="4"/>
      <c r="JK66" s="4"/>
      <c r="JL66" s="4"/>
      <c r="JM66" s="4"/>
      <c r="JN66" s="4"/>
      <c r="JO66" s="4"/>
      <c r="JP66" s="4"/>
      <c r="JQ66" s="4"/>
      <c r="JR66" s="4"/>
      <c r="JS66" s="4"/>
      <c r="JT66" s="4"/>
      <c r="JU66" s="4"/>
      <c r="JV66" s="4"/>
      <c r="JW66" s="4"/>
      <c r="JX66" s="4"/>
      <c r="JY66" s="4"/>
      <c r="JZ66" s="4"/>
      <c r="KA66" s="4"/>
      <c r="KB66" s="4"/>
      <c r="KC66" s="4"/>
      <c r="KD66" s="4"/>
      <c r="KE66" s="4"/>
      <c r="KF66" s="4"/>
      <c r="KG66" s="4"/>
      <c r="KH66" s="4"/>
      <c r="KI66" s="4"/>
      <c r="KJ66" s="4"/>
      <c r="KK66" s="4"/>
      <c r="KL66" s="4"/>
      <c r="KM66" s="4"/>
      <c r="KN66" s="4"/>
      <c r="KO66" s="4"/>
      <c r="KP66" s="4"/>
      <c r="KQ66" s="4"/>
      <c r="KR66" s="4"/>
      <c r="KS66" s="4"/>
      <c r="KT66" s="4"/>
      <c r="KU66" s="4"/>
      <c r="KV66" s="4"/>
      <c r="KW66" s="4"/>
      <c r="KX66" s="4"/>
      <c r="KY66" s="4"/>
      <c r="KZ66" s="4"/>
      <c r="LA66" s="4"/>
      <c r="LB66" s="4"/>
      <c r="LC66" s="4"/>
      <c r="LD66" s="4"/>
    </row>
    <row r="67" spans="1:316" x14ac:dyDescent="0.3">
      <c r="A67" s="32" t="s">
        <v>120</v>
      </c>
      <c r="B67" s="52">
        <f t="shared" si="7"/>
        <v>0.8</v>
      </c>
      <c r="C67" s="51">
        <v>2008</v>
      </c>
      <c r="D67" s="3">
        <f t="shared" si="9"/>
        <v>1606.4</v>
      </c>
      <c r="E67" s="50">
        <f t="shared" si="8"/>
        <v>1606.4</v>
      </c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  <c r="HK67" s="4"/>
      <c r="HL67" s="4"/>
      <c r="HM67" s="4"/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  <c r="IY67" s="4"/>
      <c r="IZ67" s="4"/>
      <c r="JA67" s="4"/>
      <c r="JB67" s="4"/>
      <c r="JC67" s="4"/>
      <c r="JD67" s="4"/>
      <c r="JE67" s="4"/>
      <c r="JF67" s="4"/>
      <c r="JG67" s="4"/>
      <c r="JH67" s="4"/>
      <c r="JI67" s="4"/>
      <c r="JJ67" s="4"/>
      <c r="JK67" s="4"/>
      <c r="JL67" s="4"/>
      <c r="JM67" s="4"/>
      <c r="JN67" s="4"/>
      <c r="JO67" s="4"/>
      <c r="JP67" s="4"/>
      <c r="JQ67" s="4"/>
      <c r="JR67" s="4"/>
      <c r="JS67" s="4"/>
      <c r="JT67" s="4"/>
      <c r="JU67" s="4"/>
      <c r="JV67" s="4"/>
      <c r="JW67" s="4"/>
      <c r="JX67" s="4"/>
      <c r="JY67" s="4"/>
      <c r="JZ67" s="4"/>
      <c r="KA67" s="4"/>
      <c r="KB67" s="4"/>
      <c r="KC67" s="4"/>
      <c r="KD67" s="4"/>
      <c r="KE67" s="4"/>
      <c r="KF67" s="4"/>
      <c r="KG67" s="4"/>
      <c r="KH67" s="4"/>
      <c r="KI67" s="4"/>
      <c r="KJ67" s="4"/>
      <c r="KK67" s="4"/>
      <c r="KL67" s="4"/>
      <c r="KM67" s="4"/>
      <c r="KN67" s="4"/>
      <c r="KO67" s="4"/>
      <c r="KP67" s="4"/>
      <c r="KQ67" s="4"/>
      <c r="KR67" s="4"/>
      <c r="KS67" s="4"/>
      <c r="KT67" s="4"/>
      <c r="KU67" s="4"/>
      <c r="KV67" s="4"/>
      <c r="KW67" s="4"/>
      <c r="KX67" s="4"/>
      <c r="KY67" s="4"/>
      <c r="KZ67" s="4"/>
      <c r="LA67" s="4"/>
      <c r="LB67" s="4"/>
      <c r="LC67" s="4"/>
      <c r="LD67" s="4"/>
    </row>
    <row r="68" spans="1:316" s="15" customFormat="1" x14ac:dyDescent="0.3">
      <c r="A68" s="29" t="s">
        <v>107</v>
      </c>
      <c r="B68" s="56">
        <f t="shared" si="7"/>
        <v>0.85</v>
      </c>
      <c r="C68" s="55">
        <v>2008</v>
      </c>
      <c r="D68" s="54">
        <f t="shared" si="9"/>
        <v>1706.8</v>
      </c>
      <c r="E68" s="53">
        <f t="shared" si="8"/>
        <v>1706.8</v>
      </c>
      <c r="F68"/>
      <c r="G68"/>
      <c r="H68"/>
      <c r="I68"/>
      <c r="J68"/>
      <c r="K68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  <c r="HK68" s="4"/>
      <c r="HL68" s="4"/>
      <c r="HM68" s="4"/>
      <c r="HN68" s="4"/>
      <c r="HO68" s="4"/>
      <c r="HP68" s="4"/>
      <c r="HQ68" s="4"/>
      <c r="HR68" s="4"/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  <c r="IY68" s="4"/>
      <c r="IZ68" s="4"/>
      <c r="JA68" s="4"/>
      <c r="JB68" s="4"/>
      <c r="JC68" s="4"/>
      <c r="JD68" s="4"/>
      <c r="JE68" s="4"/>
      <c r="JF68" s="4"/>
      <c r="JG68" s="4"/>
      <c r="JH68" s="4"/>
      <c r="JI68" s="4"/>
      <c r="JJ68" s="4"/>
      <c r="JK68" s="4"/>
      <c r="JL68" s="4"/>
      <c r="JM68" s="4"/>
      <c r="JN68" s="4"/>
      <c r="JO68" s="4"/>
      <c r="JP68" s="4"/>
      <c r="JQ68" s="4"/>
      <c r="JR68" s="4"/>
      <c r="JS68" s="4"/>
      <c r="JT68" s="4"/>
      <c r="JU68" s="4"/>
      <c r="JV68" s="4"/>
      <c r="JW68" s="4"/>
      <c r="JX68" s="4"/>
      <c r="JY68" s="4"/>
      <c r="JZ68" s="4"/>
      <c r="KA68" s="4"/>
      <c r="KB68" s="4"/>
      <c r="KC68" s="4"/>
      <c r="KD68" s="4"/>
      <c r="KE68" s="4"/>
      <c r="KF68" s="4"/>
      <c r="KG68" s="4"/>
      <c r="KH68" s="4"/>
      <c r="KI68" s="4"/>
      <c r="KJ68" s="4"/>
      <c r="KK68" s="4"/>
      <c r="KL68" s="4"/>
      <c r="KM68" s="4"/>
      <c r="KN68" s="4"/>
      <c r="KO68" s="4"/>
      <c r="KP68" s="4"/>
      <c r="KQ68" s="4"/>
      <c r="KR68" s="4"/>
      <c r="KS68" s="4"/>
      <c r="KT68" s="4"/>
      <c r="KU68" s="4"/>
      <c r="KV68" s="4"/>
      <c r="KW68" s="4"/>
      <c r="KX68" s="4"/>
      <c r="KY68" s="4"/>
      <c r="KZ68" s="4"/>
      <c r="LA68" s="4"/>
      <c r="LB68" s="4"/>
      <c r="LC68" s="4"/>
      <c r="LD68" s="4"/>
    </row>
    <row r="69" spans="1:316" x14ac:dyDescent="0.3">
      <c r="A69" s="32" t="s">
        <v>108</v>
      </c>
      <c r="B69" s="52">
        <f t="shared" si="7"/>
        <v>0.75</v>
      </c>
      <c r="C69" s="51">
        <v>2008</v>
      </c>
      <c r="D69" s="3">
        <f t="shared" si="9"/>
        <v>1506</v>
      </c>
      <c r="E69" s="50">
        <f t="shared" si="8"/>
        <v>1506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  <c r="HK69" s="4"/>
      <c r="HL69" s="4"/>
      <c r="HM69" s="4"/>
      <c r="HN69" s="4"/>
      <c r="HO69" s="4"/>
      <c r="HP69" s="4"/>
      <c r="HQ69" s="4"/>
      <c r="HR69" s="4"/>
      <c r="HS69" s="4"/>
      <c r="HT69" s="4"/>
      <c r="HU69" s="4"/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  <c r="IY69" s="4"/>
      <c r="IZ69" s="4"/>
      <c r="JA69" s="4"/>
      <c r="JB69" s="4"/>
      <c r="JC69" s="4"/>
      <c r="JD69" s="4"/>
      <c r="JE69" s="4"/>
      <c r="JF69" s="4"/>
      <c r="JG69" s="4"/>
      <c r="JH69" s="4"/>
      <c r="JI69" s="4"/>
      <c r="JJ69" s="4"/>
      <c r="JK69" s="4"/>
      <c r="JL69" s="4"/>
      <c r="JM69" s="4"/>
      <c r="JN69" s="4"/>
      <c r="JO69" s="4"/>
      <c r="JP69" s="4"/>
      <c r="JQ69" s="4"/>
      <c r="JR69" s="4"/>
      <c r="JS69" s="4"/>
      <c r="JT69" s="4"/>
      <c r="JU69" s="4"/>
      <c r="JV69" s="4"/>
      <c r="JW69" s="4"/>
      <c r="JX69" s="4"/>
      <c r="JY69" s="4"/>
      <c r="JZ69" s="4"/>
      <c r="KA69" s="4"/>
      <c r="KB69" s="4"/>
      <c r="KC69" s="4"/>
      <c r="KD69" s="4"/>
      <c r="KE69" s="4"/>
      <c r="KF69" s="4"/>
      <c r="KG69" s="4"/>
      <c r="KH69" s="4"/>
      <c r="KI69" s="4"/>
      <c r="KJ69" s="4"/>
      <c r="KK69" s="4"/>
      <c r="KL69" s="4"/>
      <c r="KM69" s="4"/>
      <c r="KN69" s="4"/>
      <c r="KO69" s="4"/>
      <c r="KP69" s="4"/>
      <c r="KQ69" s="4"/>
      <c r="KR69" s="4"/>
      <c r="KS69" s="4"/>
      <c r="KT69" s="4"/>
      <c r="KU69" s="4"/>
      <c r="KV69" s="4"/>
      <c r="KW69" s="4"/>
      <c r="KX69" s="4"/>
      <c r="KY69" s="4"/>
      <c r="KZ69" s="4"/>
      <c r="LA69" s="4"/>
      <c r="LB69" s="4"/>
      <c r="LC69" s="4"/>
      <c r="LD69" s="4"/>
    </row>
    <row r="70" spans="1:316" s="15" customFormat="1" x14ac:dyDescent="0.3">
      <c r="A70" s="29" t="s">
        <v>121</v>
      </c>
      <c r="B70" s="56">
        <f t="shared" si="7"/>
        <v>0.85</v>
      </c>
      <c r="C70" s="55">
        <v>2008</v>
      </c>
      <c r="D70" s="54">
        <f t="shared" si="9"/>
        <v>1706.8</v>
      </c>
      <c r="E70" s="53">
        <f t="shared" si="8"/>
        <v>3413.6</v>
      </c>
      <c r="F70"/>
      <c r="G70"/>
      <c r="H70"/>
      <c r="I70"/>
      <c r="J70"/>
      <c r="K70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  <c r="HK70" s="4"/>
      <c r="HL70" s="4"/>
      <c r="HM70" s="4"/>
      <c r="HN70" s="4"/>
      <c r="HO70" s="4"/>
      <c r="HP70" s="4"/>
      <c r="HQ70" s="4"/>
      <c r="HR70" s="4"/>
      <c r="HS70" s="4"/>
      <c r="HT70" s="4"/>
      <c r="HU70" s="4"/>
      <c r="HV70" s="4"/>
      <c r="HW70" s="4"/>
      <c r="HX70" s="4"/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  <c r="IY70" s="4"/>
      <c r="IZ70" s="4"/>
      <c r="JA70" s="4"/>
      <c r="JB70" s="4"/>
      <c r="JC70" s="4"/>
      <c r="JD70" s="4"/>
      <c r="JE70" s="4"/>
      <c r="JF70" s="4"/>
      <c r="JG70" s="4"/>
      <c r="JH70" s="4"/>
      <c r="JI70" s="4"/>
      <c r="JJ70" s="4"/>
      <c r="JK70" s="4"/>
      <c r="JL70" s="4"/>
      <c r="JM70" s="4"/>
      <c r="JN70" s="4"/>
      <c r="JO70" s="4"/>
      <c r="JP70" s="4"/>
      <c r="JQ70" s="4"/>
      <c r="JR70" s="4"/>
      <c r="JS70" s="4"/>
      <c r="JT70" s="4"/>
      <c r="JU70" s="4"/>
      <c r="JV70" s="4"/>
      <c r="JW70" s="4"/>
      <c r="JX70" s="4"/>
      <c r="JY70" s="4"/>
      <c r="JZ70" s="4"/>
      <c r="KA70" s="4"/>
      <c r="KB70" s="4"/>
      <c r="KC70" s="4"/>
      <c r="KD70" s="4"/>
      <c r="KE70" s="4"/>
      <c r="KF70" s="4"/>
      <c r="KG70" s="4"/>
      <c r="KH70" s="4"/>
      <c r="KI70" s="4"/>
      <c r="KJ70" s="4"/>
      <c r="KK70" s="4"/>
      <c r="KL70" s="4"/>
      <c r="KM70" s="4"/>
      <c r="KN70" s="4"/>
      <c r="KO70" s="4"/>
      <c r="KP70" s="4"/>
      <c r="KQ70" s="4"/>
      <c r="KR70" s="4"/>
      <c r="KS70" s="4"/>
      <c r="KT70" s="4"/>
      <c r="KU70" s="4"/>
      <c r="KV70" s="4"/>
      <c r="KW70" s="4"/>
      <c r="KX70" s="4"/>
      <c r="KY70" s="4"/>
      <c r="KZ70" s="4"/>
      <c r="LA70" s="4"/>
      <c r="LB70" s="4"/>
      <c r="LC70" s="4"/>
      <c r="LD70" s="4"/>
    </row>
    <row r="71" spans="1:316" x14ac:dyDescent="0.3">
      <c r="A71" s="32" t="s">
        <v>122</v>
      </c>
      <c r="B71" s="52">
        <f t="shared" si="7"/>
        <v>0.7</v>
      </c>
      <c r="C71" s="51">
        <v>2008</v>
      </c>
      <c r="D71" s="3">
        <f t="shared" si="9"/>
        <v>1405.6</v>
      </c>
      <c r="E71" s="50">
        <f t="shared" si="8"/>
        <v>5622.4</v>
      </c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  <c r="HT71" s="4"/>
      <c r="HU71" s="4"/>
      <c r="HV71" s="4"/>
      <c r="HW71" s="4"/>
      <c r="HX71" s="4"/>
      <c r="HY71" s="4"/>
      <c r="HZ71" s="4"/>
      <c r="IA71" s="4"/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  <c r="KK71" s="4"/>
      <c r="KL71" s="4"/>
      <c r="KM71" s="4"/>
      <c r="KN71" s="4"/>
      <c r="KO71" s="4"/>
      <c r="KP71" s="4"/>
      <c r="KQ71" s="4"/>
      <c r="KR71" s="4"/>
      <c r="KS71" s="4"/>
      <c r="KT71" s="4"/>
      <c r="KU71" s="4"/>
      <c r="KV71" s="4"/>
      <c r="KW71" s="4"/>
      <c r="KX71" s="4"/>
      <c r="KY71" s="4"/>
      <c r="KZ71" s="4"/>
      <c r="LA71" s="4"/>
      <c r="LB71" s="4"/>
      <c r="LC71" s="4"/>
      <c r="LD71" s="4"/>
    </row>
    <row r="72" spans="1:316" s="15" customFormat="1" ht="15" thickBot="1" x14ac:dyDescent="0.35">
      <c r="A72" s="38" t="s">
        <v>123</v>
      </c>
      <c r="B72" s="49">
        <f t="shared" si="7"/>
        <v>0</v>
      </c>
      <c r="C72" s="48"/>
      <c r="D72" s="48"/>
      <c r="E72" s="47">
        <f t="shared" si="8"/>
        <v>0</v>
      </c>
      <c r="F72"/>
      <c r="G72"/>
      <c r="H72"/>
      <c r="I72"/>
      <c r="J72"/>
      <c r="K7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  <c r="HK72" s="4"/>
      <c r="HL72" s="4"/>
      <c r="HM72" s="4"/>
      <c r="HN72" s="4"/>
      <c r="HO72" s="4"/>
      <c r="HP72" s="4"/>
      <c r="HQ72" s="4"/>
      <c r="HR72" s="4"/>
      <c r="HS72" s="4"/>
      <c r="HT72" s="4"/>
      <c r="HU72" s="4"/>
      <c r="HV72" s="4"/>
      <c r="HW72" s="4"/>
      <c r="HX72" s="4"/>
      <c r="HY72" s="4"/>
      <c r="HZ72" s="4"/>
      <c r="IA72" s="4"/>
      <c r="IB72" s="4"/>
      <c r="IC72" s="4"/>
      <c r="ID72" s="4"/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  <c r="IY72" s="4"/>
      <c r="IZ72" s="4"/>
      <c r="JA72" s="4"/>
      <c r="JB72" s="4"/>
      <c r="JC72" s="4"/>
      <c r="JD72" s="4"/>
      <c r="JE72" s="4"/>
      <c r="JF72" s="4"/>
      <c r="JG72" s="4"/>
      <c r="JH72" s="4"/>
      <c r="JI72" s="4"/>
      <c r="JJ72" s="4"/>
      <c r="JK72" s="4"/>
      <c r="JL72" s="4"/>
      <c r="JM72" s="4"/>
      <c r="JN72" s="4"/>
      <c r="JO72" s="4"/>
      <c r="JP72" s="4"/>
      <c r="JQ72" s="4"/>
      <c r="JR72" s="4"/>
      <c r="JS72" s="4"/>
      <c r="JT72" s="4"/>
      <c r="JU72" s="4"/>
      <c r="JV72" s="4"/>
      <c r="JW72" s="4"/>
      <c r="JX72" s="4"/>
      <c r="JY72" s="4"/>
      <c r="JZ72" s="4"/>
      <c r="KA72" s="4"/>
      <c r="KB72" s="4"/>
      <c r="KC72" s="4"/>
      <c r="KD72" s="4"/>
      <c r="KE72" s="4"/>
      <c r="KF72" s="4"/>
      <c r="KG72" s="4"/>
      <c r="KH72" s="4"/>
      <c r="KI72" s="4"/>
      <c r="KJ72" s="4"/>
      <c r="KK72" s="4"/>
      <c r="KL72" s="4"/>
      <c r="KM72" s="4"/>
      <c r="KN72" s="4"/>
      <c r="KO72" s="4"/>
      <c r="KP72" s="4"/>
      <c r="KQ72" s="4"/>
      <c r="KR72" s="4"/>
      <c r="KS72" s="4"/>
      <c r="KT72" s="4"/>
      <c r="KU72" s="4"/>
      <c r="KV72" s="4"/>
      <c r="KW72" s="4"/>
      <c r="KX72" s="4"/>
      <c r="KY72" s="4"/>
      <c r="KZ72" s="4"/>
      <c r="LA72" s="4"/>
      <c r="LB72" s="4"/>
      <c r="LC72" s="4"/>
      <c r="LD72" s="4"/>
    </row>
    <row r="73" spans="1:316" ht="15" thickBot="1" x14ac:dyDescent="0.35">
      <c r="A73" s="46" t="s">
        <v>111</v>
      </c>
      <c r="B73" s="45"/>
      <c r="C73" s="45"/>
      <c r="D73" s="44"/>
      <c r="E73" s="43">
        <f>SUM(E64:E72)</f>
        <v>16164.4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  <c r="HT73" s="4"/>
      <c r="HU73" s="4"/>
      <c r="HV73" s="4"/>
      <c r="HW73" s="4"/>
      <c r="HX73" s="4"/>
      <c r="HY73" s="4"/>
      <c r="HZ73" s="4"/>
      <c r="IA73" s="4"/>
      <c r="IB73" s="4"/>
      <c r="IC73" s="4"/>
      <c r="ID73" s="4"/>
      <c r="IE73" s="4"/>
      <c r="IF73" s="4"/>
      <c r="IG73" s="4"/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  <c r="KK73" s="4"/>
      <c r="KL73" s="4"/>
      <c r="KM73" s="4"/>
      <c r="KN73" s="4"/>
      <c r="KO73" s="4"/>
      <c r="KP73" s="4"/>
      <c r="KQ73" s="4"/>
      <c r="KR73" s="4"/>
      <c r="KS73" s="4"/>
      <c r="KT73" s="4"/>
      <c r="KU73" s="4"/>
      <c r="KV73" s="4"/>
      <c r="KW73" s="4"/>
      <c r="KX73" s="4"/>
      <c r="KY73" s="4"/>
      <c r="KZ73" s="4"/>
      <c r="LA73" s="4"/>
      <c r="LB73" s="4"/>
      <c r="LC73" s="4"/>
      <c r="LD73" s="4"/>
    </row>
    <row r="74" spans="1:316" ht="15" thickBot="1" x14ac:dyDescent="0.35">
      <c r="A74" s="3"/>
      <c r="B74" s="4"/>
      <c r="C74" s="4"/>
      <c r="D74" s="4"/>
      <c r="E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  <c r="EN74" s="4"/>
      <c r="EO74" s="4"/>
      <c r="EP74" s="4"/>
      <c r="EQ74" s="4"/>
      <c r="ER74" s="4"/>
      <c r="ES74" s="4"/>
      <c r="ET74" s="4"/>
      <c r="EU74" s="4"/>
      <c r="EV74" s="4"/>
      <c r="EW74" s="4"/>
      <c r="EX74" s="4"/>
      <c r="EY74" s="4"/>
      <c r="EZ74" s="4"/>
      <c r="FA74" s="4"/>
      <c r="FB74" s="4"/>
      <c r="FC74" s="4"/>
      <c r="FD74" s="4"/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  <c r="FR74" s="4"/>
      <c r="FS74" s="4"/>
      <c r="FT74" s="4"/>
      <c r="FU74" s="4"/>
      <c r="FV74" s="4"/>
      <c r="FW74" s="4"/>
      <c r="FX74" s="4"/>
      <c r="FY74" s="4"/>
      <c r="FZ74" s="4"/>
      <c r="GA74" s="4"/>
      <c r="GB74" s="4"/>
      <c r="GC74" s="4"/>
      <c r="GD74" s="4"/>
      <c r="GE74" s="4"/>
      <c r="GF74" s="4"/>
      <c r="GG74" s="4"/>
      <c r="GH74" s="4"/>
      <c r="GI74" s="4"/>
      <c r="GJ74" s="4"/>
      <c r="GK74" s="4"/>
      <c r="GL74" s="4"/>
      <c r="GM74" s="4"/>
      <c r="GN74" s="4"/>
      <c r="GO74" s="4"/>
      <c r="GP74" s="4"/>
      <c r="GQ74" s="4"/>
      <c r="GR74" s="4"/>
      <c r="GS74" s="4"/>
      <c r="GT74" s="4"/>
      <c r="GU74" s="4"/>
      <c r="GV74" s="4"/>
      <c r="GW74" s="4"/>
      <c r="GX74" s="4"/>
      <c r="GY74" s="4"/>
      <c r="GZ74" s="4"/>
      <c r="HA74" s="4"/>
      <c r="HB74" s="4"/>
      <c r="HC74" s="4"/>
      <c r="HD74" s="4"/>
      <c r="HE74" s="4"/>
      <c r="HF74" s="4"/>
      <c r="HG74" s="4"/>
      <c r="HH74" s="4"/>
      <c r="HI74" s="4"/>
      <c r="HJ74" s="4"/>
      <c r="HK74" s="4"/>
      <c r="HL74" s="4"/>
      <c r="HM74" s="4"/>
      <c r="HN74" s="4"/>
      <c r="HO74" s="4"/>
      <c r="HP74" s="4"/>
      <c r="HQ74" s="4"/>
      <c r="HR74" s="4"/>
      <c r="HS74" s="4"/>
      <c r="HT74" s="4"/>
      <c r="HU74" s="4"/>
      <c r="HV74" s="4"/>
      <c r="HW74" s="4"/>
      <c r="HX74" s="4"/>
      <c r="HY74" s="4"/>
      <c r="HZ74" s="4"/>
      <c r="IA74" s="4"/>
      <c r="IB74" s="4"/>
      <c r="IC74" s="4"/>
      <c r="ID74" s="4"/>
      <c r="IE74" s="4"/>
      <c r="IF74" s="4"/>
      <c r="IG74" s="4"/>
      <c r="IH74" s="4"/>
      <c r="II74" s="4"/>
      <c r="IJ74" s="4"/>
      <c r="IK74" s="4"/>
      <c r="IL74" s="4"/>
      <c r="IM74" s="4"/>
      <c r="IN74" s="4"/>
      <c r="IO74" s="4"/>
      <c r="IP74" s="4"/>
      <c r="IQ74" s="4"/>
      <c r="IR74" s="4"/>
      <c r="IS74" s="4"/>
      <c r="IT74" s="4"/>
      <c r="IU74" s="4"/>
      <c r="IV74" s="4"/>
      <c r="IW74" s="4"/>
      <c r="IX74" s="4"/>
      <c r="IY74" s="4"/>
      <c r="IZ74" s="4"/>
      <c r="JA74" s="4"/>
      <c r="JB74" s="4"/>
      <c r="JC74" s="4"/>
      <c r="JD74" s="4"/>
      <c r="JE74" s="4"/>
      <c r="JF74" s="4"/>
      <c r="JG74" s="4"/>
      <c r="JH74" s="4"/>
      <c r="JI74" s="4"/>
      <c r="JJ74" s="4"/>
      <c r="JK74" s="4"/>
      <c r="JL74" s="4"/>
      <c r="JM74" s="4"/>
      <c r="JN74" s="4"/>
      <c r="JO74" s="4"/>
      <c r="JP74" s="4"/>
      <c r="JQ74" s="4"/>
      <c r="JR74" s="4"/>
      <c r="JS74" s="4"/>
      <c r="JT74" s="4"/>
      <c r="JU74" s="4"/>
      <c r="JV74" s="4"/>
      <c r="JW74" s="4"/>
      <c r="JX74" s="4"/>
      <c r="JY74" s="4"/>
      <c r="JZ74" s="4"/>
      <c r="KA74" s="4"/>
      <c r="KB74" s="4"/>
      <c r="KC74" s="4"/>
      <c r="KD74" s="4"/>
      <c r="KE74" s="4"/>
      <c r="KF74" s="4"/>
      <c r="KG74" s="4"/>
      <c r="KH74" s="4"/>
      <c r="KI74" s="4"/>
      <c r="KJ74" s="4"/>
      <c r="KK74" s="4"/>
      <c r="KL74" s="4"/>
      <c r="KM74" s="4"/>
      <c r="KN74" s="4"/>
      <c r="KO74" s="4"/>
      <c r="KP74" s="4"/>
      <c r="KQ74" s="4"/>
      <c r="KR74" s="4"/>
      <c r="KS74" s="4"/>
      <c r="KT74" s="4"/>
      <c r="KU74" s="4"/>
      <c r="KV74" s="4"/>
      <c r="KW74" s="4"/>
      <c r="KX74" s="4"/>
      <c r="KY74" s="4"/>
      <c r="KZ74" s="4"/>
      <c r="LA74" s="4"/>
      <c r="LB74" s="4"/>
      <c r="LC74" s="4"/>
      <c r="LD74" s="4"/>
    </row>
    <row r="75" spans="1:316" x14ac:dyDescent="0.3">
      <c r="A75" s="42" t="s">
        <v>181</v>
      </c>
      <c r="B75" s="41">
        <f>E61+C50+F24</f>
        <v>335500.22000000003</v>
      </c>
      <c r="C75" s="4"/>
      <c r="D75" s="4"/>
      <c r="E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  <c r="FR75" s="4"/>
      <c r="FS75" s="4"/>
      <c r="FT75" s="4"/>
      <c r="FU75" s="4"/>
      <c r="FV75" s="4"/>
      <c r="FW75" s="4"/>
      <c r="FX75" s="4"/>
      <c r="FY75" s="4"/>
      <c r="FZ75" s="4"/>
      <c r="GA75" s="4"/>
      <c r="GB75" s="4"/>
      <c r="GC75" s="4"/>
      <c r="GD75" s="4"/>
      <c r="GE75" s="4"/>
      <c r="GF75" s="4"/>
      <c r="GG75" s="4"/>
      <c r="GH75" s="4"/>
      <c r="GI75" s="4"/>
      <c r="GJ75" s="4"/>
      <c r="GK75" s="4"/>
      <c r="GL75" s="4"/>
      <c r="GM75" s="4"/>
      <c r="GN75" s="4"/>
      <c r="GO75" s="4"/>
      <c r="GP75" s="4"/>
      <c r="GQ75" s="4"/>
      <c r="GR75" s="4"/>
      <c r="GS75" s="4"/>
      <c r="GT75" s="4"/>
      <c r="GU75" s="4"/>
      <c r="GV75" s="4"/>
      <c r="GW75" s="4"/>
      <c r="GX75" s="4"/>
      <c r="GY75" s="4"/>
      <c r="GZ75" s="4"/>
      <c r="HA75" s="4"/>
      <c r="HB75" s="4"/>
      <c r="HC75" s="4"/>
      <c r="HD75" s="4"/>
      <c r="HE75" s="4"/>
      <c r="HF75" s="4"/>
      <c r="HG75" s="4"/>
      <c r="HH75" s="4"/>
      <c r="HI75" s="4"/>
      <c r="HJ75" s="4"/>
      <c r="HK75" s="4"/>
      <c r="HL75" s="4"/>
      <c r="HM75" s="4"/>
      <c r="HN75" s="4"/>
      <c r="HO75" s="4"/>
      <c r="HP75" s="4"/>
      <c r="HQ75" s="4"/>
      <c r="HR75" s="4"/>
      <c r="HS75" s="4"/>
      <c r="HT75" s="4"/>
      <c r="HU75" s="4"/>
      <c r="HV75" s="4"/>
      <c r="HW75" s="4"/>
      <c r="HX75" s="4"/>
      <c r="HY75" s="4"/>
      <c r="HZ75" s="4"/>
      <c r="IA75" s="4"/>
      <c r="IB75" s="4"/>
      <c r="IC75" s="4"/>
      <c r="ID75" s="4"/>
      <c r="IE75" s="4"/>
      <c r="IF75" s="4"/>
      <c r="IG75" s="4"/>
      <c r="IH75" s="4"/>
      <c r="II75" s="4"/>
      <c r="IJ75" s="4"/>
      <c r="IK75" s="4"/>
      <c r="IL75" s="4"/>
      <c r="IM75" s="4"/>
      <c r="IN75" s="4"/>
      <c r="IO75" s="4"/>
      <c r="IP75" s="4"/>
      <c r="IQ75" s="4"/>
      <c r="IR75" s="4"/>
      <c r="IS75" s="4"/>
      <c r="IT75" s="4"/>
      <c r="IU75" s="4"/>
      <c r="IV75" s="4"/>
      <c r="IW75" s="4"/>
      <c r="IX75" s="4"/>
      <c r="IY75" s="4"/>
      <c r="IZ75" s="4"/>
      <c r="JA75" s="4"/>
      <c r="JB75" s="4"/>
      <c r="JC75" s="4"/>
      <c r="JD75" s="4"/>
      <c r="JE75" s="4"/>
      <c r="JF75" s="4"/>
      <c r="JG75" s="4"/>
      <c r="JH75" s="4"/>
      <c r="JI75" s="4"/>
      <c r="JJ75" s="4"/>
      <c r="JK75" s="4"/>
      <c r="JL75" s="4"/>
      <c r="JM75" s="4"/>
      <c r="JN75" s="4"/>
      <c r="JO75" s="4"/>
      <c r="JP75" s="4"/>
      <c r="JQ75" s="4"/>
      <c r="JR75" s="4"/>
      <c r="JS75" s="4"/>
      <c r="JT75" s="4"/>
      <c r="JU75" s="4"/>
      <c r="JV75" s="4"/>
      <c r="JW75" s="4"/>
      <c r="JX75" s="4"/>
      <c r="JY75" s="4"/>
      <c r="JZ75" s="4"/>
      <c r="KA75" s="4"/>
      <c r="KB75" s="4"/>
      <c r="KC75" s="4"/>
      <c r="KD75" s="4"/>
      <c r="KE75" s="4"/>
      <c r="KF75" s="4"/>
      <c r="KG75" s="4"/>
      <c r="KH75" s="4"/>
      <c r="KI75" s="4"/>
      <c r="KJ75" s="4"/>
      <c r="KK75" s="4"/>
      <c r="KL75" s="4"/>
      <c r="KM75" s="4"/>
      <c r="KN75" s="4"/>
      <c r="KO75" s="4"/>
      <c r="KP75" s="4"/>
      <c r="KQ75" s="4"/>
      <c r="KR75" s="4"/>
      <c r="KS75" s="4"/>
      <c r="KT75" s="4"/>
      <c r="KU75" s="4"/>
      <c r="KV75" s="4"/>
      <c r="KW75" s="4"/>
      <c r="KX75" s="4"/>
      <c r="KY75" s="4"/>
      <c r="KZ75" s="4"/>
      <c r="LA75" s="4"/>
      <c r="LB75" s="4"/>
      <c r="LC75" s="4"/>
      <c r="LD75" s="4"/>
    </row>
    <row r="76" spans="1:316" s="15" customFormat="1" x14ac:dyDescent="0.3">
      <c r="A76" s="29" t="s">
        <v>182</v>
      </c>
      <c r="B76" s="40">
        <f>SUMIFS(B2:B10,C15:C23,"&gt;0")</f>
        <v>11</v>
      </c>
      <c r="C76"/>
      <c r="D76"/>
      <c r="E76"/>
      <c r="F76"/>
      <c r="G76"/>
      <c r="H76"/>
      <c r="I76"/>
      <c r="J76"/>
      <c r="K76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  <c r="FR76" s="4"/>
      <c r="FS76" s="4"/>
      <c r="FT76" s="4"/>
      <c r="FU76" s="4"/>
      <c r="FV76" s="4"/>
      <c r="FW76" s="4"/>
      <c r="FX76" s="4"/>
      <c r="FY76" s="4"/>
      <c r="FZ76" s="4"/>
      <c r="GA76" s="4"/>
      <c r="GB76" s="4"/>
      <c r="GC76" s="4"/>
      <c r="GD76" s="4"/>
      <c r="GE76" s="4"/>
      <c r="GF76" s="4"/>
      <c r="GG76" s="4"/>
      <c r="GH76" s="4"/>
      <c r="GI76" s="4"/>
      <c r="GJ76" s="4"/>
      <c r="GK76" s="4"/>
      <c r="GL76" s="4"/>
      <c r="GM76" s="4"/>
      <c r="GN76" s="4"/>
      <c r="GO76" s="4"/>
      <c r="GP76" s="4"/>
      <c r="GQ76" s="4"/>
      <c r="GR76" s="4"/>
      <c r="GS76" s="4"/>
      <c r="GT76" s="4"/>
      <c r="GU76" s="4"/>
      <c r="GV76" s="4"/>
      <c r="GW76" s="4"/>
      <c r="GX76" s="4"/>
      <c r="GY76" s="4"/>
      <c r="GZ76" s="4"/>
      <c r="HA76" s="4"/>
      <c r="HB76" s="4"/>
      <c r="HC76" s="4"/>
      <c r="HD76" s="4"/>
      <c r="HE76" s="4"/>
      <c r="HF76" s="4"/>
      <c r="HG76" s="4"/>
      <c r="HH76" s="4"/>
      <c r="HI76" s="4"/>
      <c r="HJ76" s="4"/>
      <c r="HK76" s="4"/>
      <c r="HL76" s="4"/>
      <c r="HM76" s="4"/>
      <c r="HN76" s="4"/>
      <c r="HO76" s="4"/>
      <c r="HP76" s="4"/>
      <c r="HQ76" s="4"/>
      <c r="HR76" s="4"/>
      <c r="HS76" s="4"/>
      <c r="HT76" s="4"/>
      <c r="HU76" s="4"/>
      <c r="HV76" s="4"/>
      <c r="HW76" s="4"/>
      <c r="HX76" s="4"/>
      <c r="HY76" s="4"/>
      <c r="HZ76" s="4"/>
      <c r="IA76" s="4"/>
      <c r="IB76" s="4"/>
      <c r="IC76" s="4"/>
      <c r="ID76" s="4"/>
      <c r="IE76" s="4"/>
      <c r="IF76" s="4"/>
      <c r="IG76" s="4"/>
      <c r="IH76" s="4"/>
      <c r="II76" s="4"/>
      <c r="IJ76" s="4"/>
      <c r="IK76" s="4"/>
      <c r="IL76" s="4"/>
      <c r="IM76" s="4"/>
      <c r="IN76" s="4"/>
      <c r="IO76" s="4"/>
      <c r="IP76" s="4"/>
      <c r="IQ76" s="4"/>
      <c r="IR76" s="4"/>
      <c r="IS76" s="4"/>
      <c r="IT76" s="4"/>
      <c r="IU76" s="4"/>
      <c r="IV76" s="4"/>
      <c r="IW76" s="4"/>
      <c r="IX76" s="4"/>
      <c r="IY76" s="4"/>
      <c r="IZ76" s="4"/>
      <c r="JA76" s="4"/>
      <c r="JB76" s="4"/>
      <c r="JC76" s="4"/>
      <c r="JD76" s="4"/>
      <c r="JE76" s="4"/>
      <c r="JF76" s="4"/>
      <c r="JG76" s="4"/>
      <c r="JH76" s="4"/>
      <c r="JI76" s="4"/>
      <c r="JJ76" s="4"/>
      <c r="JK76" s="4"/>
      <c r="JL76" s="4"/>
      <c r="JM76" s="4"/>
      <c r="JN76" s="4"/>
      <c r="JO76" s="4"/>
      <c r="JP76" s="4"/>
      <c r="JQ76" s="4"/>
      <c r="JR76" s="4"/>
      <c r="JS76" s="4"/>
      <c r="JT76" s="4"/>
      <c r="JU76" s="4"/>
      <c r="JV76" s="4"/>
      <c r="JW76" s="4"/>
      <c r="JX76" s="4"/>
      <c r="JY76" s="4"/>
      <c r="JZ76" s="4"/>
      <c r="KA76" s="4"/>
      <c r="KB76" s="4"/>
      <c r="KC76" s="4"/>
      <c r="KD76" s="4"/>
      <c r="KE76" s="4"/>
      <c r="KF76" s="4"/>
      <c r="KG76" s="4"/>
      <c r="KH76" s="4"/>
      <c r="KI76" s="4"/>
      <c r="KJ76" s="4"/>
      <c r="KK76" s="4"/>
      <c r="KL76" s="4"/>
      <c r="KM76" s="4"/>
      <c r="KN76" s="4"/>
      <c r="KO76" s="4"/>
      <c r="KP76" s="4"/>
      <c r="KQ76" s="4"/>
      <c r="KR76" s="4"/>
      <c r="KS76" s="4"/>
      <c r="KT76" s="4"/>
      <c r="KU76" s="4"/>
      <c r="KV76" s="4"/>
      <c r="KW76" s="4"/>
      <c r="KX76" s="4"/>
      <c r="KY76" s="4"/>
      <c r="KZ76" s="4"/>
      <c r="LA76" s="4"/>
      <c r="LB76" s="4"/>
      <c r="LC76" s="4"/>
      <c r="LD76" s="4"/>
    </row>
    <row r="77" spans="1:316" ht="28.8" x14ac:dyDescent="0.3">
      <c r="A77" s="32" t="s">
        <v>183</v>
      </c>
      <c r="B77" s="39">
        <f>IFERROR(B75/B76,"sin valor")</f>
        <v>30500.020000000004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  <c r="EF77" s="4"/>
      <c r="EG77" s="4"/>
      <c r="EH77" s="4"/>
      <c r="EI77" s="4"/>
      <c r="EJ77" s="4"/>
      <c r="EK77" s="4"/>
      <c r="EL77" s="4"/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4"/>
      <c r="EX77" s="4"/>
      <c r="EY77" s="4"/>
      <c r="EZ77" s="4"/>
      <c r="FA77" s="4"/>
      <c r="FB77" s="4"/>
      <c r="FC77" s="4"/>
      <c r="FD77" s="4"/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  <c r="FR77" s="4"/>
      <c r="FS77" s="4"/>
      <c r="FT77" s="4"/>
      <c r="FU77" s="4"/>
      <c r="FV77" s="4"/>
      <c r="FW77" s="4"/>
      <c r="FX77" s="4"/>
      <c r="FY77" s="4"/>
      <c r="FZ77" s="4"/>
      <c r="GA77" s="4"/>
      <c r="GB77" s="4"/>
      <c r="GC77" s="4"/>
      <c r="GD77" s="4"/>
      <c r="GE77" s="4"/>
      <c r="GF77" s="4"/>
      <c r="GG77" s="4"/>
      <c r="GH77" s="4"/>
      <c r="GI77" s="4"/>
      <c r="GJ77" s="4"/>
      <c r="GK77" s="4"/>
      <c r="GL77" s="4"/>
      <c r="GM77" s="4"/>
      <c r="GN77" s="4"/>
      <c r="GO77" s="4"/>
      <c r="GP77" s="4"/>
      <c r="GQ77" s="4"/>
      <c r="GR77" s="4"/>
      <c r="GS77" s="4"/>
      <c r="GT77" s="4"/>
      <c r="GU77" s="4"/>
      <c r="GV77" s="4"/>
      <c r="GW77" s="4"/>
      <c r="GX77" s="4"/>
      <c r="GY77" s="4"/>
      <c r="GZ77" s="4"/>
      <c r="HA77" s="4"/>
      <c r="HB77" s="4"/>
      <c r="HC77" s="4"/>
      <c r="HD77" s="4"/>
      <c r="HE77" s="4"/>
      <c r="HF77" s="4"/>
      <c r="HG77" s="4"/>
      <c r="HH77" s="4"/>
      <c r="HI77" s="4"/>
      <c r="HJ77" s="4"/>
      <c r="HK77" s="4"/>
      <c r="HL77" s="4"/>
      <c r="HM77" s="4"/>
      <c r="HN77" s="4"/>
      <c r="HO77" s="4"/>
      <c r="HP77" s="4"/>
      <c r="HQ77" s="4"/>
      <c r="HR77" s="4"/>
      <c r="HS77" s="4"/>
      <c r="HT77" s="4"/>
      <c r="HU77" s="4"/>
      <c r="HV77" s="4"/>
      <c r="HW77" s="4"/>
      <c r="HX77" s="4"/>
      <c r="HY77" s="4"/>
      <c r="HZ77" s="4"/>
      <c r="IA77" s="4"/>
      <c r="IB77" s="4"/>
      <c r="IC77" s="4"/>
      <c r="ID77" s="4"/>
      <c r="IE77" s="4"/>
      <c r="IF77" s="4"/>
      <c r="IG77" s="4"/>
      <c r="IH77" s="4"/>
      <c r="II77" s="4"/>
      <c r="IJ77" s="4"/>
      <c r="IK77" s="4"/>
      <c r="IL77" s="4"/>
      <c r="IM77" s="4"/>
      <c r="IN77" s="4"/>
      <c r="IO77" s="4"/>
      <c r="IP77" s="4"/>
      <c r="IQ77" s="4"/>
      <c r="IR77" s="4"/>
      <c r="IS77" s="4"/>
      <c r="IT77" s="4"/>
      <c r="IU77" s="4"/>
      <c r="IV77" s="4"/>
      <c r="IW77" s="4"/>
      <c r="IX77" s="4"/>
      <c r="IY77" s="4"/>
      <c r="IZ77" s="4"/>
      <c r="JA77" s="4"/>
      <c r="JB77" s="4"/>
      <c r="JC77" s="4"/>
      <c r="JD77" s="4"/>
      <c r="JE77" s="4"/>
      <c r="JF77" s="4"/>
      <c r="JG77" s="4"/>
      <c r="JH77" s="4"/>
      <c r="JI77" s="4"/>
      <c r="JJ77" s="4"/>
      <c r="JK77" s="4"/>
      <c r="JL77" s="4"/>
      <c r="JM77" s="4"/>
      <c r="JN77" s="4"/>
      <c r="JO77" s="4"/>
      <c r="JP77" s="4"/>
      <c r="JQ77" s="4"/>
      <c r="JR77" s="4"/>
      <c r="JS77" s="4"/>
      <c r="JT77" s="4"/>
      <c r="JU77" s="4"/>
      <c r="JV77" s="4"/>
      <c r="JW77" s="4"/>
      <c r="JX77" s="4"/>
      <c r="JY77" s="4"/>
      <c r="JZ77" s="4"/>
      <c r="KA77" s="4"/>
      <c r="KB77" s="4"/>
      <c r="KC77" s="4"/>
      <c r="KD77" s="4"/>
      <c r="KE77" s="4"/>
      <c r="KF77" s="4"/>
      <c r="KG77" s="4"/>
      <c r="KH77" s="4"/>
      <c r="KI77" s="4"/>
      <c r="KJ77" s="4"/>
      <c r="KK77" s="4"/>
      <c r="KL77" s="4"/>
      <c r="KM77" s="4"/>
      <c r="KN77" s="4"/>
      <c r="KO77" s="4"/>
      <c r="KP77" s="4"/>
      <c r="KQ77" s="4"/>
      <c r="KR77" s="4"/>
      <c r="KS77" s="4"/>
      <c r="KT77" s="4"/>
      <c r="KU77" s="4"/>
      <c r="KV77" s="4"/>
      <c r="KW77" s="4"/>
      <c r="KX77" s="4"/>
      <c r="KY77" s="4"/>
      <c r="KZ77" s="4"/>
      <c r="LA77" s="4"/>
      <c r="LB77" s="4"/>
      <c r="LC77" s="4"/>
      <c r="LD77" s="4"/>
    </row>
    <row r="78" spans="1:316" s="15" customFormat="1" ht="15" thickBot="1" x14ac:dyDescent="0.35">
      <c r="A78" s="38" t="s">
        <v>184</v>
      </c>
      <c r="B78" s="37">
        <f>B77*(1+J5)</f>
        <v>38125.025000000009</v>
      </c>
      <c r="C78"/>
      <c r="D78"/>
      <c r="E78"/>
      <c r="F78"/>
      <c r="G78"/>
      <c r="H78"/>
      <c r="I78"/>
      <c r="J78"/>
      <c r="K78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  <c r="EF78" s="4"/>
      <c r="EG78" s="4"/>
      <c r="EH78" s="4"/>
      <c r="EI78" s="4"/>
      <c r="EJ78" s="4"/>
      <c r="EK78" s="4"/>
      <c r="EL78" s="4"/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4"/>
      <c r="EX78" s="4"/>
      <c r="EY78" s="4"/>
      <c r="EZ78" s="4"/>
      <c r="FA78" s="4"/>
      <c r="FB78" s="4"/>
      <c r="FC78" s="4"/>
      <c r="FD78" s="4"/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  <c r="FR78" s="4"/>
      <c r="FS78" s="4"/>
      <c r="FT78" s="4"/>
      <c r="FU78" s="4"/>
      <c r="FV78" s="4"/>
      <c r="FW78" s="4"/>
      <c r="FX78" s="4"/>
      <c r="FY78" s="4"/>
      <c r="FZ78" s="4"/>
      <c r="GA78" s="4"/>
      <c r="GB78" s="4"/>
      <c r="GC78" s="4"/>
      <c r="GD78" s="4"/>
      <c r="GE78" s="4"/>
      <c r="GF78" s="4"/>
      <c r="GG78" s="4"/>
      <c r="GH78" s="4"/>
      <c r="GI78" s="4"/>
      <c r="GJ78" s="4"/>
      <c r="GK78" s="4"/>
      <c r="GL78" s="4"/>
      <c r="GM78" s="4"/>
      <c r="GN78" s="4"/>
      <c r="GO78" s="4"/>
      <c r="GP78" s="4"/>
      <c r="GQ78" s="4"/>
      <c r="GR78" s="4"/>
      <c r="GS78" s="4"/>
      <c r="GT78" s="4"/>
      <c r="GU78" s="4"/>
      <c r="GV78" s="4"/>
      <c r="GW78" s="4"/>
      <c r="GX78" s="4"/>
      <c r="GY78" s="4"/>
      <c r="GZ78" s="4"/>
      <c r="HA78" s="4"/>
      <c r="HB78" s="4"/>
      <c r="HC78" s="4"/>
      <c r="HD78" s="4"/>
      <c r="HE78" s="4"/>
      <c r="HF78" s="4"/>
      <c r="HG78" s="4"/>
      <c r="HH78" s="4"/>
      <c r="HI78" s="4"/>
      <c r="HJ78" s="4"/>
      <c r="HK78" s="4"/>
      <c r="HL78" s="4"/>
      <c r="HM78" s="4"/>
      <c r="HN78" s="4"/>
      <c r="HO78" s="4"/>
      <c r="HP78" s="4"/>
      <c r="HQ78" s="4"/>
      <c r="HR78" s="4"/>
      <c r="HS78" s="4"/>
      <c r="HT78" s="4"/>
      <c r="HU78" s="4"/>
      <c r="HV78" s="4"/>
      <c r="HW78" s="4"/>
      <c r="HX78" s="4"/>
      <c r="HY78" s="4"/>
      <c r="HZ78" s="4"/>
      <c r="IA78" s="4"/>
      <c r="IB78" s="4"/>
      <c r="IC78" s="4"/>
      <c r="ID78" s="4"/>
      <c r="IE78" s="4"/>
      <c r="IF78" s="4"/>
      <c r="IG78" s="4"/>
      <c r="IH78" s="4"/>
      <c r="II78" s="4"/>
      <c r="IJ78" s="4"/>
      <c r="IK78" s="4"/>
      <c r="IL78" s="4"/>
      <c r="IM78" s="4"/>
      <c r="IN78" s="4"/>
      <c r="IO78" s="4"/>
      <c r="IP78" s="4"/>
      <c r="IQ78" s="4"/>
      <c r="IR78" s="4"/>
      <c r="IS78" s="4"/>
      <c r="IT78" s="4"/>
      <c r="IU78" s="4"/>
      <c r="IV78" s="4"/>
      <c r="IW78" s="4"/>
      <c r="IX78" s="4"/>
      <c r="IY78" s="4"/>
      <c r="IZ78" s="4"/>
      <c r="JA78" s="4"/>
      <c r="JB78" s="4"/>
      <c r="JC78" s="4"/>
      <c r="JD78" s="4"/>
      <c r="JE78" s="4"/>
      <c r="JF78" s="4"/>
      <c r="JG78" s="4"/>
      <c r="JH78" s="4"/>
      <c r="JI78" s="4"/>
      <c r="JJ78" s="4"/>
      <c r="JK78" s="4"/>
      <c r="JL78" s="4"/>
      <c r="JM78" s="4"/>
      <c r="JN78" s="4"/>
      <c r="JO78" s="4"/>
      <c r="JP78" s="4"/>
      <c r="JQ78" s="4"/>
      <c r="JR78" s="4"/>
      <c r="JS78" s="4"/>
      <c r="JT78" s="4"/>
      <c r="JU78" s="4"/>
      <c r="JV78" s="4"/>
      <c r="JW78" s="4"/>
      <c r="JX78" s="4"/>
      <c r="JY78" s="4"/>
      <c r="JZ78" s="4"/>
      <c r="KA78" s="4"/>
      <c r="KB78" s="4"/>
      <c r="KC78" s="4"/>
      <c r="KD78" s="4"/>
      <c r="KE78" s="4"/>
      <c r="KF78" s="4"/>
      <c r="KG78" s="4"/>
      <c r="KH78" s="4"/>
      <c r="KI78" s="4"/>
      <c r="KJ78" s="4"/>
      <c r="KK78" s="4"/>
      <c r="KL78" s="4"/>
      <c r="KM78" s="4"/>
      <c r="KN78" s="4"/>
      <c r="KO78" s="4"/>
      <c r="KP78" s="4"/>
      <c r="KQ78" s="4"/>
      <c r="KR78" s="4"/>
      <c r="KS78" s="4"/>
      <c r="KT78" s="4"/>
      <c r="KU78" s="4"/>
      <c r="KV78" s="4"/>
      <c r="KW78" s="4"/>
      <c r="KX78" s="4"/>
      <c r="KY78" s="4"/>
      <c r="KZ78" s="4"/>
      <c r="LA78" s="4"/>
      <c r="LB78" s="4"/>
      <c r="LC78" s="4"/>
      <c r="LD78" s="4"/>
    </row>
    <row r="79" spans="1:316" ht="15" thickBot="1" x14ac:dyDescent="0.35">
      <c r="A79" s="3"/>
      <c r="B79" s="4"/>
      <c r="C79" s="4"/>
      <c r="D79" s="4"/>
      <c r="E79" s="4"/>
      <c r="F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  <c r="EF79" s="4"/>
      <c r="EG79" s="4"/>
      <c r="EH79" s="4"/>
      <c r="EI79" s="4"/>
      <c r="EJ79" s="4"/>
      <c r="EK79" s="4"/>
      <c r="EL79" s="4"/>
      <c r="EM79" s="4"/>
      <c r="EN79" s="4"/>
      <c r="EO79" s="4"/>
      <c r="EP79" s="4"/>
      <c r="EQ79" s="4"/>
      <c r="ER79" s="4"/>
      <c r="ES79" s="4"/>
      <c r="ET79" s="4"/>
      <c r="EU79" s="4"/>
      <c r="EV79" s="4"/>
      <c r="EW79" s="4"/>
      <c r="EX79" s="4"/>
      <c r="EY79" s="4"/>
      <c r="EZ79" s="4"/>
      <c r="FA79" s="4"/>
      <c r="FB79" s="4"/>
      <c r="FC79" s="4"/>
      <c r="FD79" s="4"/>
      <c r="FE79" s="4"/>
      <c r="FF79" s="4"/>
      <c r="FG79" s="4"/>
      <c r="FH79" s="4"/>
      <c r="FI79" s="4"/>
      <c r="FJ79" s="4"/>
      <c r="FK79" s="4"/>
      <c r="FL79" s="4"/>
      <c r="FM79" s="4"/>
      <c r="FN79" s="4"/>
      <c r="FO79" s="4"/>
      <c r="FP79" s="4"/>
      <c r="FQ79" s="4"/>
      <c r="FR79" s="4"/>
      <c r="FS79" s="4"/>
      <c r="FT79" s="4"/>
      <c r="FU79" s="4"/>
      <c r="FV79" s="4"/>
      <c r="FW79" s="4"/>
      <c r="FX79" s="4"/>
      <c r="FY79" s="4"/>
      <c r="FZ79" s="4"/>
      <c r="GA79" s="4"/>
      <c r="GB79" s="4"/>
      <c r="GC79" s="4"/>
      <c r="GD79" s="4"/>
      <c r="GE79" s="4"/>
      <c r="GF79" s="4"/>
      <c r="GG79" s="4"/>
      <c r="GH79" s="4"/>
      <c r="GI79" s="4"/>
      <c r="GJ79" s="4"/>
      <c r="GK79" s="4"/>
      <c r="GL79" s="4"/>
      <c r="GM79" s="4"/>
      <c r="GN79" s="4"/>
      <c r="GO79" s="4"/>
      <c r="GP79" s="4"/>
      <c r="GQ79" s="4"/>
      <c r="GR79" s="4"/>
      <c r="GS79" s="4"/>
      <c r="GT79" s="4"/>
      <c r="GU79" s="4"/>
      <c r="GV79" s="4"/>
      <c r="GW79" s="4"/>
      <c r="GX79" s="4"/>
      <c r="GY79" s="4"/>
      <c r="GZ79" s="4"/>
      <c r="HA79" s="4"/>
      <c r="HB79" s="4"/>
      <c r="HC79" s="4"/>
      <c r="HD79" s="4"/>
      <c r="HE79" s="4"/>
      <c r="HF79" s="4"/>
      <c r="HG79" s="4"/>
      <c r="HH79" s="4"/>
      <c r="HI79" s="4"/>
      <c r="HJ79" s="4"/>
      <c r="HK79" s="4"/>
      <c r="HL79" s="4"/>
      <c r="HM79" s="4"/>
      <c r="HN79" s="4"/>
      <c r="HO79" s="4"/>
      <c r="HP79" s="4"/>
      <c r="HQ79" s="4"/>
      <c r="HR79" s="4"/>
      <c r="HS79" s="4"/>
      <c r="HT79" s="4"/>
      <c r="HU79" s="4"/>
      <c r="HV79" s="4"/>
      <c r="HW79" s="4"/>
      <c r="HX79" s="4"/>
      <c r="HY79" s="4"/>
      <c r="HZ79" s="4"/>
      <c r="IA79" s="4"/>
      <c r="IB79" s="4"/>
      <c r="IC79" s="4"/>
      <c r="ID79" s="4"/>
      <c r="IE79" s="4"/>
      <c r="IF79" s="4"/>
      <c r="IG79" s="4"/>
      <c r="IH79" s="4"/>
      <c r="II79" s="4"/>
      <c r="IJ79" s="4"/>
      <c r="IK79" s="4"/>
      <c r="IL79" s="4"/>
      <c r="IM79" s="4"/>
      <c r="IN79" s="4"/>
      <c r="IO79" s="4"/>
      <c r="IP79" s="4"/>
      <c r="IQ79" s="4"/>
      <c r="IR79" s="4"/>
      <c r="IS79" s="4"/>
      <c r="IT79" s="4"/>
      <c r="IU79" s="4"/>
      <c r="IV79" s="4"/>
      <c r="IW79" s="4"/>
      <c r="IX79" s="4"/>
      <c r="IY79" s="4"/>
      <c r="IZ79" s="4"/>
      <c r="JA79" s="4"/>
      <c r="JB79" s="4"/>
      <c r="JC79" s="4"/>
      <c r="JD79" s="4"/>
      <c r="JE79" s="4"/>
      <c r="JF79" s="4"/>
      <c r="JG79" s="4"/>
      <c r="JH79" s="4"/>
      <c r="JI79" s="4"/>
      <c r="JJ79" s="4"/>
      <c r="JK79" s="4"/>
      <c r="JL79" s="4"/>
      <c r="JM79" s="4"/>
      <c r="JN79" s="4"/>
      <c r="JO79" s="4"/>
      <c r="JP79" s="4"/>
      <c r="JQ79" s="4"/>
      <c r="JR79" s="4"/>
      <c r="JS79" s="4"/>
      <c r="JT79" s="4"/>
      <c r="JU79" s="4"/>
      <c r="JV79" s="4"/>
      <c r="JW79" s="4"/>
      <c r="JX79" s="4"/>
      <c r="JY79" s="4"/>
      <c r="JZ79" s="4"/>
      <c r="KA79" s="4"/>
      <c r="KB79" s="4"/>
      <c r="KC79" s="4"/>
      <c r="KD79" s="4"/>
      <c r="KE79" s="4"/>
      <c r="KF79" s="4"/>
      <c r="KG79" s="4"/>
      <c r="KH79" s="4"/>
      <c r="KI79" s="4"/>
      <c r="KJ79" s="4"/>
      <c r="KK79" s="4"/>
      <c r="KL79" s="4"/>
      <c r="KM79" s="4"/>
      <c r="KN79" s="4"/>
      <c r="KO79" s="4"/>
      <c r="KP79" s="4"/>
      <c r="KQ79" s="4"/>
      <c r="KR79" s="4"/>
      <c r="KS79" s="4"/>
      <c r="KT79" s="4"/>
      <c r="KU79" s="4"/>
      <c r="KV79" s="4"/>
      <c r="KW79" s="4"/>
      <c r="KX79" s="4"/>
      <c r="KY79" s="4"/>
      <c r="KZ79" s="4"/>
      <c r="LA79" s="4"/>
      <c r="LB79" s="4"/>
      <c r="LC79" s="4"/>
      <c r="LD79" s="4"/>
    </row>
    <row r="80" spans="1:316" s="15" customFormat="1" ht="43.2" x14ac:dyDescent="0.3">
      <c r="A80" s="36" t="s">
        <v>117</v>
      </c>
      <c r="B80" s="34" t="s">
        <v>185</v>
      </c>
      <c r="C80" s="35" t="s">
        <v>186</v>
      </c>
      <c r="D80" s="35" t="s">
        <v>187</v>
      </c>
      <c r="E80" s="34" t="s">
        <v>188</v>
      </c>
      <c r="F80" s="33" t="s">
        <v>189</v>
      </c>
      <c r="G80"/>
      <c r="H80"/>
      <c r="I80"/>
      <c r="J80"/>
      <c r="K80"/>
      <c r="L80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  <c r="EF80" s="4"/>
      <c r="EG80" s="4"/>
      <c r="EH80" s="4"/>
      <c r="EI80" s="4"/>
      <c r="EJ80" s="4"/>
      <c r="EK80" s="4"/>
      <c r="EL80" s="4"/>
      <c r="EM80" s="4"/>
      <c r="EN80" s="4"/>
      <c r="EO80" s="4"/>
      <c r="EP80" s="4"/>
      <c r="EQ80" s="4"/>
      <c r="ER80" s="4"/>
      <c r="ES80" s="4"/>
      <c r="ET80" s="4"/>
      <c r="EU80" s="4"/>
      <c r="EV80" s="4"/>
      <c r="EW80" s="4"/>
      <c r="EX80" s="4"/>
      <c r="EY80" s="4"/>
      <c r="EZ80" s="4"/>
      <c r="FA80" s="4"/>
      <c r="FB80" s="4"/>
      <c r="FC80" s="4"/>
      <c r="FD80" s="4"/>
      <c r="FE80" s="4"/>
      <c r="FF80" s="4"/>
      <c r="FG80" s="4"/>
      <c r="FH80" s="4"/>
      <c r="FI80" s="4"/>
      <c r="FJ80" s="4"/>
      <c r="FK80" s="4"/>
      <c r="FL80" s="4"/>
      <c r="FM80" s="4"/>
      <c r="FN80" s="4"/>
      <c r="FO80" s="4"/>
      <c r="FP80" s="4"/>
      <c r="FQ80" s="4"/>
      <c r="FR80" s="4"/>
      <c r="FS80" s="4"/>
      <c r="FT80" s="4"/>
      <c r="FU80" s="4"/>
      <c r="FV80" s="4"/>
      <c r="FW80" s="4"/>
      <c r="FX80" s="4"/>
      <c r="FY80" s="4"/>
      <c r="FZ80" s="4"/>
      <c r="GA80" s="4"/>
      <c r="GB80" s="4"/>
      <c r="GC80" s="4"/>
      <c r="GD80" s="4"/>
      <c r="GE80" s="4"/>
      <c r="GF80" s="4"/>
      <c r="GG80" s="4"/>
      <c r="GH80" s="4"/>
      <c r="GI80" s="4"/>
      <c r="GJ80" s="4"/>
      <c r="GK80" s="4"/>
      <c r="GL80" s="4"/>
      <c r="GM80" s="4"/>
      <c r="GN80" s="4"/>
      <c r="GO80" s="4"/>
      <c r="GP80" s="4"/>
      <c r="GQ80" s="4"/>
      <c r="GR80" s="4"/>
      <c r="GS80" s="4"/>
      <c r="GT80" s="4"/>
      <c r="GU80" s="4"/>
      <c r="GV80" s="4"/>
      <c r="GW80" s="4"/>
      <c r="GX80" s="4"/>
      <c r="GY80" s="4"/>
      <c r="GZ80" s="4"/>
      <c r="HA80" s="4"/>
      <c r="HB80" s="4"/>
      <c r="HC80" s="4"/>
      <c r="HD80" s="4"/>
      <c r="HE80" s="4"/>
      <c r="HF80" s="4"/>
      <c r="HG80" s="4"/>
      <c r="HH80" s="4"/>
      <c r="HI80" s="4"/>
      <c r="HJ80" s="4"/>
      <c r="HK80" s="4"/>
      <c r="HL80" s="4"/>
      <c r="HM80" s="4"/>
      <c r="HN80" s="4"/>
      <c r="HO80" s="4"/>
      <c r="HP80" s="4"/>
      <c r="HQ80" s="4"/>
      <c r="HR80" s="4"/>
      <c r="HS80" s="4"/>
      <c r="HT80" s="4"/>
      <c r="HU80" s="4"/>
      <c r="HV80" s="4"/>
      <c r="HW80" s="4"/>
      <c r="HX80" s="4"/>
      <c r="HY80" s="4"/>
      <c r="HZ80" s="4"/>
      <c r="IA80" s="4"/>
      <c r="IB80" s="4"/>
      <c r="IC80" s="4"/>
      <c r="ID80" s="4"/>
      <c r="IE80" s="4"/>
      <c r="IF80" s="4"/>
      <c r="IG80" s="4"/>
      <c r="IH80" s="4"/>
      <c r="II80" s="4"/>
      <c r="IJ80" s="4"/>
      <c r="IK80" s="4"/>
      <c r="IL80" s="4"/>
      <c r="IM80" s="4"/>
      <c r="IN80" s="4"/>
      <c r="IO80" s="4"/>
      <c r="IP80" s="4"/>
      <c r="IQ80" s="4"/>
      <c r="IR80" s="4"/>
      <c r="IS80" s="4"/>
      <c r="IT80" s="4"/>
      <c r="IU80" s="4"/>
      <c r="IV80" s="4"/>
      <c r="IW80" s="4"/>
      <c r="IX80" s="4"/>
      <c r="IY80" s="4"/>
      <c r="IZ80" s="4"/>
      <c r="JA80" s="4"/>
      <c r="JB80" s="4"/>
      <c r="JC80" s="4"/>
      <c r="JD80" s="4"/>
      <c r="JE80" s="4"/>
      <c r="JF80" s="4"/>
      <c r="JG80" s="4"/>
      <c r="JH80" s="4"/>
      <c r="JI80" s="4"/>
      <c r="JJ80" s="4"/>
      <c r="JK80" s="4"/>
      <c r="JL80" s="4"/>
      <c r="JM80" s="4"/>
      <c r="JN80" s="4"/>
      <c r="JO80" s="4"/>
      <c r="JP80" s="4"/>
      <c r="JQ80" s="4"/>
      <c r="JR80" s="4"/>
      <c r="JS80" s="4"/>
      <c r="JT80" s="4"/>
      <c r="JU80" s="4"/>
      <c r="JV80" s="4"/>
      <c r="JW80" s="4"/>
      <c r="JX80" s="4"/>
      <c r="JY80" s="4"/>
      <c r="JZ80" s="4"/>
      <c r="KA80" s="4"/>
      <c r="KB80" s="4"/>
      <c r="KC80" s="4"/>
      <c r="KD80" s="4"/>
      <c r="KE80" s="4"/>
      <c r="KF80" s="4"/>
      <c r="KG80" s="4"/>
      <c r="KH80" s="4"/>
      <c r="KI80" s="4"/>
      <c r="KJ80" s="4"/>
      <c r="KK80" s="4"/>
      <c r="KL80" s="4"/>
      <c r="KM80" s="4"/>
      <c r="KN80" s="4"/>
      <c r="KO80" s="4"/>
      <c r="KP80" s="4"/>
      <c r="KQ80" s="4"/>
      <c r="KR80" s="4"/>
      <c r="KS80" s="4"/>
      <c r="KT80" s="4"/>
      <c r="KU80" s="4"/>
      <c r="KV80" s="4"/>
      <c r="KW80" s="4"/>
      <c r="KX80" s="4"/>
      <c r="KY80" s="4"/>
      <c r="KZ80" s="4"/>
      <c r="LA80" s="4"/>
      <c r="LB80" s="4"/>
      <c r="LC80" s="4"/>
      <c r="LD80" s="4"/>
    </row>
    <row r="81" spans="1:316" x14ac:dyDescent="0.3">
      <c r="A81" s="32" t="s">
        <v>118</v>
      </c>
      <c r="B81" s="31">
        <f t="shared" ref="B81:B89" si="10">IFERROR($D15/$D64,0)</f>
        <v>0</v>
      </c>
      <c r="C81" s="31">
        <f t="shared" ref="C81:C89" si="11">IFERROR(($D15+$B$78)/$D64,0)</f>
        <v>0</v>
      </c>
      <c r="D81" s="4">
        <f t="shared" ref="D81:D89" si="12">E64</f>
        <v>0</v>
      </c>
      <c r="E81" s="30">
        <f t="shared" ref="E81:E89" si="13">D81*C81</f>
        <v>0</v>
      </c>
      <c r="F81" s="20">
        <f>IFERROR(($D15+$B$78)/$D64,0)</f>
        <v>0</v>
      </c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  <c r="FS81" s="4"/>
      <c r="FT81" s="4"/>
      <c r="FU81" s="4"/>
      <c r="FV81" s="4"/>
      <c r="FW81" s="4"/>
      <c r="FX81" s="4"/>
      <c r="FY81" s="4"/>
      <c r="FZ81" s="4"/>
      <c r="GA81" s="4"/>
      <c r="GB81" s="4"/>
      <c r="GC81" s="4"/>
      <c r="GD81" s="4"/>
      <c r="GE81" s="4"/>
      <c r="GF81" s="4"/>
      <c r="GG81" s="4"/>
      <c r="GH81" s="4"/>
      <c r="GI81" s="4"/>
      <c r="GJ81" s="4"/>
      <c r="GK81" s="4"/>
      <c r="GL81" s="4"/>
      <c r="GM81" s="4"/>
      <c r="GN81" s="4"/>
      <c r="GO81" s="4"/>
      <c r="GP81" s="4"/>
      <c r="GQ81" s="4"/>
      <c r="GR81" s="4"/>
      <c r="GS81" s="4"/>
      <c r="GT81" s="4"/>
      <c r="GU81" s="4"/>
      <c r="GV81" s="4"/>
      <c r="GW81" s="4"/>
      <c r="GX81" s="4"/>
      <c r="GY81" s="4"/>
      <c r="GZ81" s="4"/>
      <c r="HA81" s="4"/>
      <c r="HB81" s="4"/>
      <c r="HC81" s="4"/>
      <c r="HD81" s="4"/>
      <c r="HE81" s="4"/>
      <c r="HF81" s="4"/>
      <c r="HG81" s="4"/>
      <c r="HH81" s="4"/>
      <c r="HI81" s="4"/>
      <c r="HJ81" s="4"/>
      <c r="HK81" s="4"/>
      <c r="HL81" s="4"/>
      <c r="HM81" s="4"/>
      <c r="HN81" s="4"/>
      <c r="HO81" s="4"/>
      <c r="HP81" s="4"/>
      <c r="HQ81" s="4"/>
      <c r="HR81" s="4"/>
      <c r="HS81" s="4"/>
      <c r="HT81" s="4"/>
      <c r="HU81" s="4"/>
      <c r="HV81" s="4"/>
      <c r="HW81" s="4"/>
      <c r="HX81" s="4"/>
      <c r="HY81" s="4"/>
      <c r="HZ81" s="4"/>
      <c r="IA81" s="4"/>
      <c r="IB81" s="4"/>
      <c r="IC81" s="4"/>
      <c r="ID81" s="4"/>
      <c r="IE81" s="4"/>
      <c r="IF81" s="4"/>
      <c r="IG81" s="4"/>
      <c r="IH81" s="4"/>
      <c r="II81" s="4"/>
      <c r="IJ81" s="4"/>
      <c r="IK81" s="4"/>
      <c r="IL81" s="4"/>
      <c r="IM81" s="4"/>
      <c r="IN81" s="4"/>
      <c r="IO81" s="4"/>
      <c r="IP81" s="4"/>
      <c r="IQ81" s="4"/>
      <c r="IR81" s="4"/>
      <c r="IS81" s="4"/>
      <c r="IT81" s="4"/>
      <c r="IU81" s="4"/>
      <c r="IV81" s="4"/>
      <c r="IW81" s="4"/>
      <c r="IX81" s="4"/>
      <c r="IY81" s="4"/>
      <c r="IZ81" s="4"/>
      <c r="JA81" s="4"/>
      <c r="JB81" s="4"/>
      <c r="JC81" s="4"/>
      <c r="JD81" s="4"/>
      <c r="JE81" s="4"/>
      <c r="JF81" s="4"/>
      <c r="JG81" s="4"/>
      <c r="JH81" s="4"/>
      <c r="JI81" s="4"/>
      <c r="JJ81" s="4"/>
      <c r="JK81" s="4"/>
      <c r="JL81" s="4"/>
      <c r="JM81" s="4"/>
      <c r="JN81" s="4"/>
      <c r="JO81" s="4"/>
      <c r="JP81" s="4"/>
      <c r="JQ81" s="4"/>
      <c r="JR81" s="4"/>
      <c r="JS81" s="4"/>
      <c r="JT81" s="4"/>
      <c r="JU81" s="4"/>
      <c r="JV81" s="4"/>
      <c r="JW81" s="4"/>
      <c r="JX81" s="4"/>
      <c r="JY81" s="4"/>
      <c r="JZ81" s="4"/>
      <c r="KA81" s="4"/>
      <c r="KB81" s="4"/>
      <c r="KC81" s="4"/>
      <c r="KD81" s="4"/>
      <c r="KE81" s="4"/>
      <c r="KF81" s="4"/>
      <c r="KG81" s="4"/>
      <c r="KH81" s="4"/>
      <c r="KI81" s="4"/>
      <c r="KJ81" s="4"/>
      <c r="KK81" s="4"/>
      <c r="KL81" s="4"/>
      <c r="KM81" s="4"/>
      <c r="KN81" s="4"/>
      <c r="KO81" s="4"/>
      <c r="KP81" s="4"/>
      <c r="KQ81" s="4"/>
      <c r="KR81" s="4"/>
      <c r="KS81" s="4"/>
      <c r="KT81" s="4"/>
      <c r="KU81" s="4"/>
      <c r="KV81" s="4"/>
      <c r="KW81" s="4"/>
      <c r="KX81" s="4"/>
      <c r="KY81" s="4"/>
      <c r="KZ81" s="4"/>
      <c r="LA81" s="4"/>
      <c r="LB81" s="4"/>
      <c r="LC81" s="4"/>
      <c r="LD81" s="4"/>
    </row>
    <row r="82" spans="1:316" s="15" customFormat="1" x14ac:dyDescent="0.3">
      <c r="A82" s="29" t="s">
        <v>104</v>
      </c>
      <c r="B82" s="28">
        <f t="shared" si="10"/>
        <v>26.414043824701196</v>
      </c>
      <c r="C82" s="28">
        <f t="shared" si="11"/>
        <v>55.624145724793138</v>
      </c>
      <c r="D82" s="27">
        <f t="shared" si="12"/>
        <v>1305.2</v>
      </c>
      <c r="E82" s="26">
        <f t="shared" si="13"/>
        <v>72600.635000000009</v>
      </c>
      <c r="F82" s="25">
        <f t="shared" ref="F82:F89" si="14">IFERROR(($D16+$B$77)/$D65,0)</f>
        <v>49.782125344774748</v>
      </c>
      <c r="G82"/>
      <c r="H82"/>
      <c r="I82"/>
      <c r="J82"/>
      <c r="K82"/>
      <c r="L82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  <c r="FR82" s="4"/>
      <c r="FS82" s="4"/>
      <c r="FT82" s="4"/>
      <c r="FU82" s="4"/>
      <c r="FV82" s="4"/>
      <c r="FW82" s="4"/>
      <c r="FX82" s="4"/>
      <c r="FY82" s="4"/>
      <c r="FZ82" s="4"/>
      <c r="GA82" s="4"/>
      <c r="GB82" s="4"/>
      <c r="GC82" s="4"/>
      <c r="GD82" s="4"/>
      <c r="GE82" s="4"/>
      <c r="GF82" s="4"/>
      <c r="GG82" s="4"/>
      <c r="GH82" s="4"/>
      <c r="GI82" s="4"/>
      <c r="GJ82" s="4"/>
      <c r="GK82" s="4"/>
      <c r="GL82" s="4"/>
      <c r="GM82" s="4"/>
      <c r="GN82" s="4"/>
      <c r="GO82" s="4"/>
      <c r="GP82" s="4"/>
      <c r="GQ82" s="4"/>
      <c r="GR82" s="4"/>
      <c r="GS82" s="4"/>
      <c r="GT82" s="4"/>
      <c r="GU82" s="4"/>
      <c r="GV82" s="4"/>
      <c r="GW82" s="4"/>
      <c r="GX82" s="4"/>
      <c r="GY82" s="4"/>
      <c r="GZ82" s="4"/>
      <c r="HA82" s="4"/>
      <c r="HB82" s="4"/>
      <c r="HC82" s="4"/>
      <c r="HD82" s="4"/>
      <c r="HE82" s="4"/>
      <c r="HF82" s="4"/>
      <c r="HG82" s="4"/>
      <c r="HH82" s="4"/>
      <c r="HI82" s="4"/>
      <c r="HJ82" s="4"/>
      <c r="HK82" s="4"/>
      <c r="HL82" s="4"/>
      <c r="HM82" s="4"/>
      <c r="HN82" s="4"/>
      <c r="HO82" s="4"/>
      <c r="HP82" s="4"/>
      <c r="HQ82" s="4"/>
      <c r="HR82" s="4"/>
      <c r="HS82" s="4"/>
      <c r="HT82" s="4"/>
      <c r="HU82" s="4"/>
      <c r="HV82" s="4"/>
      <c r="HW82" s="4"/>
      <c r="HX82" s="4"/>
      <c r="HY82" s="4"/>
      <c r="HZ82" s="4"/>
      <c r="IA82" s="4"/>
      <c r="IB82" s="4"/>
      <c r="IC82" s="4"/>
      <c r="ID82" s="4"/>
      <c r="IE82" s="4"/>
      <c r="IF82" s="4"/>
      <c r="IG82" s="4"/>
      <c r="IH82" s="4"/>
      <c r="II82" s="4"/>
      <c r="IJ82" s="4"/>
      <c r="IK82" s="4"/>
      <c r="IL82" s="4"/>
      <c r="IM82" s="4"/>
      <c r="IN82" s="4"/>
      <c r="IO82" s="4"/>
      <c r="IP82" s="4"/>
      <c r="IQ82" s="4"/>
      <c r="IR82" s="4"/>
      <c r="IS82" s="4"/>
      <c r="IT82" s="4"/>
      <c r="IU82" s="4"/>
      <c r="IV82" s="4"/>
      <c r="IW82" s="4"/>
      <c r="IX82" s="4"/>
      <c r="IY82" s="4"/>
      <c r="IZ82" s="4"/>
      <c r="JA82" s="4"/>
      <c r="JB82" s="4"/>
      <c r="JC82" s="4"/>
      <c r="JD82" s="4"/>
      <c r="JE82" s="4"/>
      <c r="JF82" s="4"/>
      <c r="JG82" s="4"/>
      <c r="JH82" s="4"/>
      <c r="JI82" s="4"/>
      <c r="JJ82" s="4"/>
      <c r="JK82" s="4"/>
      <c r="JL82" s="4"/>
      <c r="JM82" s="4"/>
      <c r="JN82" s="4"/>
      <c r="JO82" s="4"/>
      <c r="JP82" s="4"/>
      <c r="JQ82" s="4"/>
      <c r="JR82" s="4"/>
      <c r="JS82" s="4"/>
      <c r="JT82" s="4"/>
      <c r="JU82" s="4"/>
      <c r="JV82" s="4"/>
      <c r="JW82" s="4"/>
      <c r="JX82" s="4"/>
      <c r="JY82" s="4"/>
      <c r="JZ82" s="4"/>
      <c r="KA82" s="4"/>
      <c r="KB82" s="4"/>
      <c r="KC82" s="4"/>
      <c r="KD82" s="4"/>
      <c r="KE82" s="4"/>
      <c r="KF82" s="4"/>
      <c r="KG82" s="4"/>
      <c r="KH82" s="4"/>
      <c r="KI82" s="4"/>
      <c r="KJ82" s="4"/>
      <c r="KK82" s="4"/>
      <c r="KL82" s="4"/>
      <c r="KM82" s="4"/>
      <c r="KN82" s="4"/>
      <c r="KO82" s="4"/>
      <c r="KP82" s="4"/>
      <c r="KQ82" s="4"/>
      <c r="KR82" s="4"/>
      <c r="KS82" s="4"/>
      <c r="KT82" s="4"/>
      <c r="KU82" s="4"/>
      <c r="KV82" s="4"/>
      <c r="KW82" s="4"/>
      <c r="KX82" s="4"/>
      <c r="KY82" s="4"/>
      <c r="KZ82" s="4"/>
      <c r="LA82" s="4"/>
      <c r="LB82" s="4"/>
      <c r="LC82" s="4"/>
      <c r="LD82" s="4"/>
    </row>
    <row r="83" spans="1:316" x14ac:dyDescent="0.3">
      <c r="A83" s="32" t="s">
        <v>119</v>
      </c>
      <c r="B83" s="31">
        <f t="shared" si="10"/>
        <v>16.372798804780878</v>
      </c>
      <c r="C83" s="31">
        <f t="shared" si="11"/>
        <v>54.345931274900408</v>
      </c>
      <c r="D83" s="4">
        <f t="shared" si="12"/>
        <v>1004</v>
      </c>
      <c r="E83" s="30">
        <f t="shared" si="13"/>
        <v>54563.31500000001</v>
      </c>
      <c r="F83" s="20">
        <f t="shared" si="14"/>
        <v>46.751304780876502</v>
      </c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L83" s="4"/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  <c r="FR83" s="4"/>
      <c r="FS83" s="4"/>
      <c r="FT83" s="4"/>
      <c r="FU83" s="4"/>
      <c r="FV83" s="4"/>
      <c r="FW83" s="4"/>
      <c r="FX83" s="4"/>
      <c r="FY83" s="4"/>
      <c r="FZ83" s="4"/>
      <c r="GA83" s="4"/>
      <c r="GB83" s="4"/>
      <c r="GC83" s="4"/>
      <c r="GD83" s="4"/>
      <c r="GE83" s="4"/>
      <c r="GF83" s="4"/>
      <c r="GG83" s="4"/>
      <c r="GH83" s="4"/>
      <c r="GI83" s="4"/>
      <c r="GJ83" s="4"/>
      <c r="GK83" s="4"/>
      <c r="GL83" s="4"/>
      <c r="GM83" s="4"/>
      <c r="GN83" s="4"/>
      <c r="GO83" s="4"/>
      <c r="GP83" s="4"/>
      <c r="GQ83" s="4"/>
      <c r="GR83" s="4"/>
      <c r="GS83" s="4"/>
      <c r="GT83" s="4"/>
      <c r="GU83" s="4"/>
      <c r="GV83" s="4"/>
      <c r="GW83" s="4"/>
      <c r="GX83" s="4"/>
      <c r="GY83" s="4"/>
      <c r="GZ83" s="4"/>
      <c r="HA83" s="4"/>
      <c r="HB83" s="4"/>
      <c r="HC83" s="4"/>
      <c r="HD83" s="4"/>
      <c r="HE83" s="4"/>
      <c r="HF83" s="4"/>
      <c r="HG83" s="4"/>
      <c r="HH83" s="4"/>
      <c r="HI83" s="4"/>
      <c r="HJ83" s="4"/>
      <c r="HK83" s="4"/>
      <c r="HL83" s="4"/>
      <c r="HM83" s="4"/>
      <c r="HN83" s="4"/>
      <c r="HO83" s="4"/>
      <c r="HP83" s="4"/>
      <c r="HQ83" s="4"/>
      <c r="HR83" s="4"/>
      <c r="HS83" s="4"/>
      <c r="HT83" s="4"/>
      <c r="HU83" s="4"/>
      <c r="HV83" s="4"/>
      <c r="HW83" s="4"/>
      <c r="HX83" s="4"/>
      <c r="HY83" s="4"/>
      <c r="HZ83" s="4"/>
      <c r="IA83" s="4"/>
      <c r="IB83" s="4"/>
      <c r="IC83" s="4"/>
      <c r="ID83" s="4"/>
      <c r="IE83" s="4"/>
      <c r="IF83" s="4"/>
      <c r="IG83" s="4"/>
      <c r="IH83" s="4"/>
      <c r="II83" s="4"/>
      <c r="IJ83" s="4"/>
      <c r="IK83" s="4"/>
      <c r="IL83" s="4"/>
      <c r="IM83" s="4"/>
      <c r="IN83" s="4"/>
      <c r="IO83" s="4"/>
      <c r="IP83" s="4"/>
      <c r="IQ83" s="4"/>
      <c r="IR83" s="4"/>
      <c r="IS83" s="4"/>
      <c r="IT83" s="4"/>
      <c r="IU83" s="4"/>
      <c r="IV83" s="4"/>
      <c r="IW83" s="4"/>
      <c r="IX83" s="4"/>
      <c r="IY83" s="4"/>
      <c r="IZ83" s="4"/>
      <c r="JA83" s="4"/>
      <c r="JB83" s="4"/>
      <c r="JC83" s="4"/>
      <c r="JD83" s="4"/>
      <c r="JE83" s="4"/>
      <c r="JF83" s="4"/>
      <c r="JG83" s="4"/>
      <c r="JH83" s="4"/>
      <c r="JI83" s="4"/>
      <c r="JJ83" s="4"/>
      <c r="JK83" s="4"/>
      <c r="JL83" s="4"/>
      <c r="JM83" s="4"/>
      <c r="JN83" s="4"/>
      <c r="JO83" s="4"/>
      <c r="JP83" s="4"/>
      <c r="JQ83" s="4"/>
      <c r="JR83" s="4"/>
      <c r="JS83" s="4"/>
      <c r="JT83" s="4"/>
      <c r="JU83" s="4"/>
      <c r="JV83" s="4"/>
      <c r="JW83" s="4"/>
      <c r="JX83" s="4"/>
      <c r="JY83" s="4"/>
      <c r="JZ83" s="4"/>
      <c r="KA83" s="4"/>
      <c r="KB83" s="4"/>
      <c r="KC83" s="4"/>
      <c r="KD83" s="4"/>
      <c r="KE83" s="4"/>
      <c r="KF83" s="4"/>
      <c r="KG83" s="4"/>
      <c r="KH83" s="4"/>
      <c r="KI83" s="4"/>
      <c r="KJ83" s="4"/>
      <c r="KK83" s="4"/>
      <c r="KL83" s="4"/>
      <c r="KM83" s="4"/>
      <c r="KN83" s="4"/>
      <c r="KO83" s="4"/>
      <c r="KP83" s="4"/>
      <c r="KQ83" s="4"/>
      <c r="KR83" s="4"/>
      <c r="KS83" s="4"/>
      <c r="KT83" s="4"/>
      <c r="KU83" s="4"/>
      <c r="KV83" s="4"/>
      <c r="KW83" s="4"/>
      <c r="KX83" s="4"/>
      <c r="KY83" s="4"/>
      <c r="KZ83" s="4"/>
      <c r="LA83" s="4"/>
      <c r="LB83" s="4"/>
      <c r="LC83" s="4"/>
      <c r="LD83" s="4"/>
    </row>
    <row r="84" spans="1:316" s="15" customFormat="1" x14ac:dyDescent="0.3">
      <c r="A84" s="29" t="s">
        <v>120</v>
      </c>
      <c r="B84" s="28">
        <f t="shared" si="10"/>
        <v>23.17270293824701</v>
      </c>
      <c r="C84" s="28">
        <f t="shared" si="11"/>
        <v>46.90591073207171</v>
      </c>
      <c r="D84" s="27">
        <f t="shared" si="12"/>
        <v>1606.4</v>
      </c>
      <c r="E84" s="26">
        <f t="shared" si="13"/>
        <v>75349.654999999999</v>
      </c>
      <c r="F84" s="25">
        <f t="shared" si="14"/>
        <v>42.159269173306768</v>
      </c>
      <c r="G84"/>
      <c r="H84"/>
      <c r="I84"/>
      <c r="J84"/>
      <c r="K84"/>
      <c r="L8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  <c r="EF84" s="4"/>
      <c r="EG84" s="4"/>
      <c r="EH84" s="4"/>
      <c r="EI84" s="4"/>
      <c r="EJ84" s="4"/>
      <c r="EK84" s="4"/>
      <c r="EL84" s="4"/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  <c r="FR84" s="4"/>
      <c r="FS84" s="4"/>
      <c r="FT84" s="4"/>
      <c r="FU84" s="4"/>
      <c r="FV84" s="4"/>
      <c r="FW84" s="4"/>
      <c r="FX84" s="4"/>
      <c r="FY84" s="4"/>
      <c r="FZ84" s="4"/>
      <c r="GA84" s="4"/>
      <c r="GB84" s="4"/>
      <c r="GC84" s="4"/>
      <c r="GD84" s="4"/>
      <c r="GE84" s="4"/>
      <c r="GF84" s="4"/>
      <c r="GG84" s="4"/>
      <c r="GH84" s="4"/>
      <c r="GI84" s="4"/>
      <c r="GJ84" s="4"/>
      <c r="GK84" s="4"/>
      <c r="GL84" s="4"/>
      <c r="GM84" s="4"/>
      <c r="GN84" s="4"/>
      <c r="GO84" s="4"/>
      <c r="GP84" s="4"/>
      <c r="GQ84" s="4"/>
      <c r="GR84" s="4"/>
      <c r="GS84" s="4"/>
      <c r="GT84" s="4"/>
      <c r="GU84" s="4"/>
      <c r="GV84" s="4"/>
      <c r="GW84" s="4"/>
      <c r="GX84" s="4"/>
      <c r="GY84" s="4"/>
      <c r="GZ84" s="4"/>
      <c r="HA84" s="4"/>
      <c r="HB84" s="4"/>
      <c r="HC84" s="4"/>
      <c r="HD84" s="4"/>
      <c r="HE84" s="4"/>
      <c r="HF84" s="4"/>
      <c r="HG84" s="4"/>
      <c r="HH84" s="4"/>
      <c r="HI84" s="4"/>
      <c r="HJ84" s="4"/>
      <c r="HK84" s="4"/>
      <c r="HL84" s="4"/>
      <c r="HM84" s="4"/>
      <c r="HN84" s="4"/>
      <c r="HO84" s="4"/>
      <c r="HP84" s="4"/>
      <c r="HQ84" s="4"/>
      <c r="HR84" s="4"/>
      <c r="HS84" s="4"/>
      <c r="HT84" s="4"/>
      <c r="HU84" s="4"/>
      <c r="HV84" s="4"/>
      <c r="HW84" s="4"/>
      <c r="HX84" s="4"/>
      <c r="HY84" s="4"/>
      <c r="HZ84" s="4"/>
      <c r="IA84" s="4"/>
      <c r="IB84" s="4"/>
      <c r="IC84" s="4"/>
      <c r="ID84" s="4"/>
      <c r="IE84" s="4"/>
      <c r="IF84" s="4"/>
      <c r="IG84" s="4"/>
      <c r="IH84" s="4"/>
      <c r="II84" s="4"/>
      <c r="IJ84" s="4"/>
      <c r="IK84" s="4"/>
      <c r="IL84" s="4"/>
      <c r="IM84" s="4"/>
      <c r="IN84" s="4"/>
      <c r="IO84" s="4"/>
      <c r="IP84" s="4"/>
      <c r="IQ84" s="4"/>
      <c r="IR84" s="4"/>
      <c r="IS84" s="4"/>
      <c r="IT84" s="4"/>
      <c r="IU84" s="4"/>
      <c r="IV84" s="4"/>
      <c r="IW84" s="4"/>
      <c r="IX84" s="4"/>
      <c r="IY84" s="4"/>
      <c r="IZ84" s="4"/>
      <c r="JA84" s="4"/>
      <c r="JB84" s="4"/>
      <c r="JC84" s="4"/>
      <c r="JD84" s="4"/>
      <c r="JE84" s="4"/>
      <c r="JF84" s="4"/>
      <c r="JG84" s="4"/>
      <c r="JH84" s="4"/>
      <c r="JI84" s="4"/>
      <c r="JJ84" s="4"/>
      <c r="JK84" s="4"/>
      <c r="JL84" s="4"/>
      <c r="JM84" s="4"/>
      <c r="JN84" s="4"/>
      <c r="JO84" s="4"/>
      <c r="JP84" s="4"/>
      <c r="JQ84" s="4"/>
      <c r="JR84" s="4"/>
      <c r="JS84" s="4"/>
      <c r="JT84" s="4"/>
      <c r="JU84" s="4"/>
      <c r="JV84" s="4"/>
      <c r="JW84" s="4"/>
      <c r="JX84" s="4"/>
      <c r="JY84" s="4"/>
      <c r="JZ84" s="4"/>
      <c r="KA84" s="4"/>
      <c r="KB84" s="4"/>
      <c r="KC84" s="4"/>
      <c r="KD84" s="4"/>
      <c r="KE84" s="4"/>
      <c r="KF84" s="4"/>
      <c r="KG84" s="4"/>
      <c r="KH84" s="4"/>
      <c r="KI84" s="4"/>
      <c r="KJ84" s="4"/>
      <c r="KK84" s="4"/>
      <c r="KL84" s="4"/>
      <c r="KM84" s="4"/>
      <c r="KN84" s="4"/>
      <c r="KO84" s="4"/>
      <c r="KP84" s="4"/>
      <c r="KQ84" s="4"/>
      <c r="KR84" s="4"/>
      <c r="KS84" s="4"/>
      <c r="KT84" s="4"/>
      <c r="KU84" s="4"/>
      <c r="KV84" s="4"/>
      <c r="KW84" s="4"/>
      <c r="KX84" s="4"/>
      <c r="KY84" s="4"/>
      <c r="KZ84" s="4"/>
      <c r="LA84" s="4"/>
      <c r="LB84" s="4"/>
      <c r="LC84" s="4"/>
      <c r="LD84" s="4"/>
    </row>
    <row r="85" spans="1:316" x14ac:dyDescent="0.3">
      <c r="A85" s="32" t="s">
        <v>107</v>
      </c>
      <c r="B85" s="31">
        <f t="shared" si="10"/>
        <v>27.350749941410829</v>
      </c>
      <c r="C85" s="31">
        <f t="shared" si="11"/>
        <v>49.687886688539962</v>
      </c>
      <c r="D85" s="4">
        <f t="shared" si="12"/>
        <v>1706.8</v>
      </c>
      <c r="E85" s="30">
        <f t="shared" si="13"/>
        <v>84807.285000000003</v>
      </c>
      <c r="F85" s="20">
        <f t="shared" si="14"/>
        <v>45.220459339114129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  <c r="EF85" s="4"/>
      <c r="EG85" s="4"/>
      <c r="EH85" s="4"/>
      <c r="EI85" s="4"/>
      <c r="EJ85" s="4"/>
      <c r="EK85" s="4"/>
      <c r="EL85" s="4"/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  <c r="FR85" s="4"/>
      <c r="FS85" s="4"/>
      <c r="FT85" s="4"/>
      <c r="FU85" s="4"/>
      <c r="FV85" s="4"/>
      <c r="FW85" s="4"/>
      <c r="FX85" s="4"/>
      <c r="FY85" s="4"/>
      <c r="FZ85" s="4"/>
      <c r="GA85" s="4"/>
      <c r="GB85" s="4"/>
      <c r="GC85" s="4"/>
      <c r="GD85" s="4"/>
      <c r="GE85" s="4"/>
      <c r="GF85" s="4"/>
      <c r="GG85" s="4"/>
      <c r="GH85" s="4"/>
      <c r="GI85" s="4"/>
      <c r="GJ85" s="4"/>
      <c r="GK85" s="4"/>
      <c r="GL85" s="4"/>
      <c r="GM85" s="4"/>
      <c r="GN85" s="4"/>
      <c r="GO85" s="4"/>
      <c r="GP85" s="4"/>
      <c r="GQ85" s="4"/>
      <c r="GR85" s="4"/>
      <c r="GS85" s="4"/>
      <c r="GT85" s="4"/>
      <c r="GU85" s="4"/>
      <c r="GV85" s="4"/>
      <c r="GW85" s="4"/>
      <c r="GX85" s="4"/>
      <c r="GY85" s="4"/>
      <c r="GZ85" s="4"/>
      <c r="HA85" s="4"/>
      <c r="HB85" s="4"/>
      <c r="HC85" s="4"/>
      <c r="HD85" s="4"/>
      <c r="HE85" s="4"/>
      <c r="HF85" s="4"/>
      <c r="HG85" s="4"/>
      <c r="HH85" s="4"/>
      <c r="HI85" s="4"/>
      <c r="HJ85" s="4"/>
      <c r="HK85" s="4"/>
      <c r="HL85" s="4"/>
      <c r="HM85" s="4"/>
      <c r="HN85" s="4"/>
      <c r="HO85" s="4"/>
      <c r="HP85" s="4"/>
      <c r="HQ85" s="4"/>
      <c r="HR85" s="4"/>
      <c r="HS85" s="4"/>
      <c r="HT85" s="4"/>
      <c r="HU85" s="4"/>
      <c r="HV85" s="4"/>
      <c r="HW85" s="4"/>
      <c r="HX85" s="4"/>
      <c r="HY85" s="4"/>
      <c r="HZ85" s="4"/>
      <c r="IA85" s="4"/>
      <c r="IB85" s="4"/>
      <c r="IC85" s="4"/>
      <c r="ID85" s="4"/>
      <c r="IE85" s="4"/>
      <c r="IF85" s="4"/>
      <c r="IG85" s="4"/>
      <c r="IH85" s="4"/>
      <c r="II85" s="4"/>
      <c r="IJ85" s="4"/>
      <c r="IK85" s="4"/>
      <c r="IL85" s="4"/>
      <c r="IM85" s="4"/>
      <c r="IN85" s="4"/>
      <c r="IO85" s="4"/>
      <c r="IP85" s="4"/>
      <c r="IQ85" s="4"/>
      <c r="IR85" s="4"/>
      <c r="IS85" s="4"/>
      <c r="IT85" s="4"/>
      <c r="IU85" s="4"/>
      <c r="IV85" s="4"/>
      <c r="IW85" s="4"/>
      <c r="IX85" s="4"/>
      <c r="IY85" s="4"/>
      <c r="IZ85" s="4"/>
      <c r="JA85" s="4"/>
      <c r="JB85" s="4"/>
      <c r="JC85" s="4"/>
      <c r="JD85" s="4"/>
      <c r="JE85" s="4"/>
      <c r="JF85" s="4"/>
      <c r="JG85" s="4"/>
      <c r="JH85" s="4"/>
      <c r="JI85" s="4"/>
      <c r="JJ85" s="4"/>
      <c r="JK85" s="4"/>
      <c r="JL85" s="4"/>
      <c r="JM85" s="4"/>
      <c r="JN85" s="4"/>
      <c r="JO85" s="4"/>
      <c r="JP85" s="4"/>
      <c r="JQ85" s="4"/>
      <c r="JR85" s="4"/>
      <c r="JS85" s="4"/>
      <c r="JT85" s="4"/>
      <c r="JU85" s="4"/>
      <c r="JV85" s="4"/>
      <c r="JW85" s="4"/>
      <c r="JX85" s="4"/>
      <c r="JY85" s="4"/>
      <c r="JZ85" s="4"/>
      <c r="KA85" s="4"/>
      <c r="KB85" s="4"/>
      <c r="KC85" s="4"/>
      <c r="KD85" s="4"/>
      <c r="KE85" s="4"/>
      <c r="KF85" s="4"/>
      <c r="KG85" s="4"/>
      <c r="KH85" s="4"/>
      <c r="KI85" s="4"/>
      <c r="KJ85" s="4"/>
      <c r="KK85" s="4"/>
      <c r="KL85" s="4"/>
      <c r="KM85" s="4"/>
      <c r="KN85" s="4"/>
      <c r="KO85" s="4"/>
      <c r="KP85" s="4"/>
      <c r="KQ85" s="4"/>
      <c r="KR85" s="4"/>
      <c r="KS85" s="4"/>
      <c r="KT85" s="4"/>
      <c r="KU85" s="4"/>
      <c r="KV85" s="4"/>
      <c r="KW85" s="4"/>
      <c r="KX85" s="4"/>
      <c r="KY85" s="4"/>
      <c r="KZ85" s="4"/>
      <c r="LA85" s="4"/>
      <c r="LB85" s="4"/>
      <c r="LC85" s="4"/>
      <c r="LD85" s="4"/>
    </row>
    <row r="86" spans="1:316" s="15" customFormat="1" x14ac:dyDescent="0.3">
      <c r="A86" s="29" t="s">
        <v>108</v>
      </c>
      <c r="B86" s="28">
        <f t="shared" si="10"/>
        <v>28.901719787516598</v>
      </c>
      <c r="C86" s="28">
        <f t="shared" si="11"/>
        <v>54.217141434262956</v>
      </c>
      <c r="D86" s="27">
        <f t="shared" si="12"/>
        <v>1506</v>
      </c>
      <c r="E86" s="26">
        <f t="shared" si="13"/>
        <v>81651.015000000014</v>
      </c>
      <c r="F86" s="25">
        <f t="shared" si="14"/>
        <v>49.154057104913683</v>
      </c>
      <c r="G86"/>
      <c r="H86"/>
      <c r="I86"/>
      <c r="J86"/>
      <c r="K86"/>
      <c r="L8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  <c r="EF86" s="4"/>
      <c r="EG86" s="4"/>
      <c r="EH86" s="4"/>
      <c r="EI86" s="4"/>
      <c r="EJ86" s="4"/>
      <c r="EK86" s="4"/>
      <c r="EL86" s="4"/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  <c r="FR86" s="4"/>
      <c r="FS86" s="4"/>
      <c r="FT86" s="4"/>
      <c r="FU86" s="4"/>
      <c r="FV86" s="4"/>
      <c r="FW86" s="4"/>
      <c r="FX86" s="4"/>
      <c r="FY86" s="4"/>
      <c r="FZ86" s="4"/>
      <c r="GA86" s="4"/>
      <c r="GB86" s="4"/>
      <c r="GC86" s="4"/>
      <c r="GD86" s="4"/>
      <c r="GE86" s="4"/>
      <c r="GF86" s="4"/>
      <c r="GG86" s="4"/>
      <c r="GH86" s="4"/>
      <c r="GI86" s="4"/>
      <c r="GJ86" s="4"/>
      <c r="GK86" s="4"/>
      <c r="GL86" s="4"/>
      <c r="GM86" s="4"/>
      <c r="GN86" s="4"/>
      <c r="GO86" s="4"/>
      <c r="GP86" s="4"/>
      <c r="GQ86" s="4"/>
      <c r="GR86" s="4"/>
      <c r="GS86" s="4"/>
      <c r="GT86" s="4"/>
      <c r="GU86" s="4"/>
      <c r="GV86" s="4"/>
      <c r="GW86" s="4"/>
      <c r="GX86" s="4"/>
      <c r="GY86" s="4"/>
      <c r="GZ86" s="4"/>
      <c r="HA86" s="4"/>
      <c r="HB86" s="4"/>
      <c r="HC86" s="4"/>
      <c r="HD86" s="4"/>
      <c r="HE86" s="4"/>
      <c r="HF86" s="4"/>
      <c r="HG86" s="4"/>
      <c r="HH86" s="4"/>
      <c r="HI86" s="4"/>
      <c r="HJ86" s="4"/>
      <c r="HK86" s="4"/>
      <c r="HL86" s="4"/>
      <c r="HM86" s="4"/>
      <c r="HN86" s="4"/>
      <c r="HO86" s="4"/>
      <c r="HP86" s="4"/>
      <c r="HQ86" s="4"/>
      <c r="HR86" s="4"/>
      <c r="HS86" s="4"/>
      <c r="HT86" s="4"/>
      <c r="HU86" s="4"/>
      <c r="HV86" s="4"/>
      <c r="HW86" s="4"/>
      <c r="HX86" s="4"/>
      <c r="HY86" s="4"/>
      <c r="HZ86" s="4"/>
      <c r="IA86" s="4"/>
      <c r="IB86" s="4"/>
      <c r="IC86" s="4"/>
      <c r="ID86" s="4"/>
      <c r="IE86" s="4"/>
      <c r="IF86" s="4"/>
      <c r="IG86" s="4"/>
      <c r="IH86" s="4"/>
      <c r="II86" s="4"/>
      <c r="IJ86" s="4"/>
      <c r="IK86" s="4"/>
      <c r="IL86" s="4"/>
      <c r="IM86" s="4"/>
      <c r="IN86" s="4"/>
      <c r="IO86" s="4"/>
      <c r="IP86" s="4"/>
      <c r="IQ86" s="4"/>
      <c r="IR86" s="4"/>
      <c r="IS86" s="4"/>
      <c r="IT86" s="4"/>
      <c r="IU86" s="4"/>
      <c r="IV86" s="4"/>
      <c r="IW86" s="4"/>
      <c r="IX86" s="4"/>
      <c r="IY86" s="4"/>
      <c r="IZ86" s="4"/>
      <c r="JA86" s="4"/>
      <c r="JB86" s="4"/>
      <c r="JC86" s="4"/>
      <c r="JD86" s="4"/>
      <c r="JE86" s="4"/>
      <c r="JF86" s="4"/>
      <c r="JG86" s="4"/>
      <c r="JH86" s="4"/>
      <c r="JI86" s="4"/>
      <c r="JJ86" s="4"/>
      <c r="JK86" s="4"/>
      <c r="JL86" s="4"/>
      <c r="JM86" s="4"/>
      <c r="JN86" s="4"/>
      <c r="JO86" s="4"/>
      <c r="JP86" s="4"/>
      <c r="JQ86" s="4"/>
      <c r="JR86" s="4"/>
      <c r="JS86" s="4"/>
      <c r="JT86" s="4"/>
      <c r="JU86" s="4"/>
      <c r="JV86" s="4"/>
      <c r="JW86" s="4"/>
      <c r="JX86" s="4"/>
      <c r="JY86" s="4"/>
      <c r="JZ86" s="4"/>
      <c r="KA86" s="4"/>
      <c r="KB86" s="4"/>
      <c r="KC86" s="4"/>
      <c r="KD86" s="4"/>
      <c r="KE86" s="4"/>
      <c r="KF86" s="4"/>
      <c r="KG86" s="4"/>
      <c r="KH86" s="4"/>
      <c r="KI86" s="4"/>
      <c r="KJ86" s="4"/>
      <c r="KK86" s="4"/>
      <c r="KL86" s="4"/>
      <c r="KM86" s="4"/>
      <c r="KN86" s="4"/>
      <c r="KO86" s="4"/>
      <c r="KP86" s="4"/>
      <c r="KQ86" s="4"/>
      <c r="KR86" s="4"/>
      <c r="KS86" s="4"/>
      <c r="KT86" s="4"/>
      <c r="KU86" s="4"/>
      <c r="KV86" s="4"/>
      <c r="KW86" s="4"/>
      <c r="KX86" s="4"/>
      <c r="KY86" s="4"/>
      <c r="KZ86" s="4"/>
      <c r="LA86" s="4"/>
      <c r="LB86" s="4"/>
      <c r="LC86" s="4"/>
      <c r="LD86" s="4"/>
    </row>
    <row r="87" spans="1:316" x14ac:dyDescent="0.3">
      <c r="A87" s="32" t="s">
        <v>121</v>
      </c>
      <c r="B87" s="31">
        <f t="shared" si="10"/>
        <v>25.976956878368878</v>
      </c>
      <c r="C87" s="31">
        <f t="shared" si="11"/>
        <v>48.314093625498018</v>
      </c>
      <c r="D87" s="4">
        <f t="shared" si="12"/>
        <v>3413.6</v>
      </c>
      <c r="E87" s="30">
        <f t="shared" si="13"/>
        <v>164924.99000000002</v>
      </c>
      <c r="F87" s="20">
        <f t="shared" si="14"/>
        <v>43.846666276072185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  <c r="EF87" s="4"/>
      <c r="EG87" s="4"/>
      <c r="EH87" s="4"/>
      <c r="EI87" s="4"/>
      <c r="EJ87" s="4"/>
      <c r="EK87" s="4"/>
      <c r="EL87" s="4"/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  <c r="FR87" s="4"/>
      <c r="FS87" s="4"/>
      <c r="FT87" s="4"/>
      <c r="FU87" s="4"/>
      <c r="FV87" s="4"/>
      <c r="FW87" s="4"/>
      <c r="FX87" s="4"/>
      <c r="FY87" s="4"/>
      <c r="FZ87" s="4"/>
      <c r="GA87" s="4"/>
      <c r="GB87" s="4"/>
      <c r="GC87" s="4"/>
      <c r="GD87" s="4"/>
      <c r="GE87" s="4"/>
      <c r="GF87" s="4"/>
      <c r="GG87" s="4"/>
      <c r="GH87" s="4"/>
      <c r="GI87" s="4"/>
      <c r="GJ87" s="4"/>
      <c r="GK87" s="4"/>
      <c r="GL87" s="4"/>
      <c r="GM87" s="4"/>
      <c r="GN87" s="4"/>
      <c r="GO87" s="4"/>
      <c r="GP87" s="4"/>
      <c r="GQ87" s="4"/>
      <c r="GR87" s="4"/>
      <c r="GS87" s="4"/>
      <c r="GT87" s="4"/>
      <c r="GU87" s="4"/>
      <c r="GV87" s="4"/>
      <c r="GW87" s="4"/>
      <c r="GX87" s="4"/>
      <c r="GY87" s="4"/>
      <c r="GZ87" s="4"/>
      <c r="HA87" s="4"/>
      <c r="HB87" s="4"/>
      <c r="HC87" s="4"/>
      <c r="HD87" s="4"/>
      <c r="HE87" s="4"/>
      <c r="HF87" s="4"/>
      <c r="HG87" s="4"/>
      <c r="HH87" s="4"/>
      <c r="HI87" s="4"/>
      <c r="HJ87" s="4"/>
      <c r="HK87" s="4"/>
      <c r="HL87" s="4"/>
      <c r="HM87" s="4"/>
      <c r="HN87" s="4"/>
      <c r="HO87" s="4"/>
      <c r="HP87" s="4"/>
      <c r="HQ87" s="4"/>
      <c r="HR87" s="4"/>
      <c r="HS87" s="4"/>
      <c r="HT87" s="4"/>
      <c r="HU87" s="4"/>
      <c r="HV87" s="4"/>
      <c r="HW87" s="4"/>
      <c r="HX87" s="4"/>
      <c r="HY87" s="4"/>
      <c r="HZ87" s="4"/>
      <c r="IA87" s="4"/>
      <c r="IB87" s="4"/>
      <c r="IC87" s="4"/>
      <c r="ID87" s="4"/>
      <c r="IE87" s="4"/>
      <c r="IF87" s="4"/>
      <c r="IG87" s="4"/>
      <c r="IH87" s="4"/>
      <c r="II87" s="4"/>
      <c r="IJ87" s="4"/>
      <c r="IK87" s="4"/>
      <c r="IL87" s="4"/>
      <c r="IM87" s="4"/>
      <c r="IN87" s="4"/>
      <c r="IO87" s="4"/>
      <c r="IP87" s="4"/>
      <c r="IQ87" s="4"/>
      <c r="IR87" s="4"/>
      <c r="IS87" s="4"/>
      <c r="IT87" s="4"/>
      <c r="IU87" s="4"/>
      <c r="IV87" s="4"/>
      <c r="IW87" s="4"/>
      <c r="IX87" s="4"/>
      <c r="IY87" s="4"/>
      <c r="IZ87" s="4"/>
      <c r="JA87" s="4"/>
      <c r="JB87" s="4"/>
      <c r="JC87" s="4"/>
      <c r="JD87" s="4"/>
      <c r="JE87" s="4"/>
      <c r="JF87" s="4"/>
      <c r="JG87" s="4"/>
      <c r="JH87" s="4"/>
      <c r="JI87" s="4"/>
      <c r="JJ87" s="4"/>
      <c r="JK87" s="4"/>
      <c r="JL87" s="4"/>
      <c r="JM87" s="4"/>
      <c r="JN87" s="4"/>
      <c r="JO87" s="4"/>
      <c r="JP87" s="4"/>
      <c r="JQ87" s="4"/>
      <c r="JR87" s="4"/>
      <c r="JS87" s="4"/>
      <c r="JT87" s="4"/>
      <c r="JU87" s="4"/>
      <c r="JV87" s="4"/>
      <c r="JW87" s="4"/>
      <c r="JX87" s="4"/>
      <c r="JY87" s="4"/>
      <c r="JZ87" s="4"/>
      <c r="KA87" s="4"/>
      <c r="KB87" s="4"/>
      <c r="KC87" s="4"/>
      <c r="KD87" s="4"/>
      <c r="KE87" s="4"/>
      <c r="KF87" s="4"/>
      <c r="KG87" s="4"/>
      <c r="KH87" s="4"/>
      <c r="KI87" s="4"/>
      <c r="KJ87" s="4"/>
      <c r="KK87" s="4"/>
      <c r="KL87" s="4"/>
      <c r="KM87" s="4"/>
      <c r="KN87" s="4"/>
      <c r="KO87" s="4"/>
      <c r="KP87" s="4"/>
      <c r="KQ87" s="4"/>
      <c r="KR87" s="4"/>
      <c r="KS87" s="4"/>
      <c r="KT87" s="4"/>
      <c r="KU87" s="4"/>
      <c r="KV87" s="4"/>
      <c r="KW87" s="4"/>
      <c r="KX87" s="4"/>
      <c r="KY87" s="4"/>
      <c r="KZ87" s="4"/>
      <c r="LA87" s="4"/>
      <c r="LB87" s="4"/>
      <c r="LC87" s="4"/>
      <c r="LD87" s="4"/>
    </row>
    <row r="88" spans="1:316" s="15" customFormat="1" x14ac:dyDescent="0.3">
      <c r="A88" s="29" t="s">
        <v>122</v>
      </c>
      <c r="B88" s="28">
        <f t="shared" si="10"/>
        <v>16.852881331815595</v>
      </c>
      <c r="C88" s="28">
        <f t="shared" si="11"/>
        <v>43.976547381900978</v>
      </c>
      <c r="D88" s="27">
        <f t="shared" si="12"/>
        <v>5622.4</v>
      </c>
      <c r="E88" s="26">
        <f t="shared" si="13"/>
        <v>247253.74000000005</v>
      </c>
      <c r="F88" s="25">
        <f t="shared" si="14"/>
        <v>38.551814171883898</v>
      </c>
      <c r="G88"/>
      <c r="H88"/>
      <c r="I88"/>
      <c r="J88"/>
      <c r="K88"/>
      <c r="L88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  <c r="EF88" s="4"/>
      <c r="EG88" s="4"/>
      <c r="EH88" s="4"/>
      <c r="EI88" s="4"/>
      <c r="EJ88" s="4"/>
      <c r="EK88" s="4"/>
      <c r="EL88" s="4"/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  <c r="FR88" s="4"/>
      <c r="FS88" s="4"/>
      <c r="FT88" s="4"/>
      <c r="FU88" s="4"/>
      <c r="FV88" s="4"/>
      <c r="FW88" s="4"/>
      <c r="FX88" s="4"/>
      <c r="FY88" s="4"/>
      <c r="FZ88" s="4"/>
      <c r="GA88" s="4"/>
      <c r="GB88" s="4"/>
      <c r="GC88" s="4"/>
      <c r="GD88" s="4"/>
      <c r="GE88" s="4"/>
      <c r="GF88" s="4"/>
      <c r="GG88" s="4"/>
      <c r="GH88" s="4"/>
      <c r="GI88" s="4"/>
      <c r="GJ88" s="4"/>
      <c r="GK88" s="4"/>
      <c r="GL88" s="4"/>
      <c r="GM88" s="4"/>
      <c r="GN88" s="4"/>
      <c r="GO88" s="4"/>
      <c r="GP88" s="4"/>
      <c r="GQ88" s="4"/>
      <c r="GR88" s="4"/>
      <c r="GS88" s="4"/>
      <c r="GT88" s="4"/>
      <c r="GU88" s="4"/>
      <c r="GV88" s="4"/>
      <c r="GW88" s="4"/>
      <c r="GX88" s="4"/>
      <c r="GY88" s="4"/>
      <c r="GZ88" s="4"/>
      <c r="HA88" s="4"/>
      <c r="HB88" s="4"/>
      <c r="HC88" s="4"/>
      <c r="HD88" s="4"/>
      <c r="HE88" s="4"/>
      <c r="HF88" s="4"/>
      <c r="HG88" s="4"/>
      <c r="HH88" s="4"/>
      <c r="HI88" s="4"/>
      <c r="HJ88" s="4"/>
      <c r="HK88" s="4"/>
      <c r="HL88" s="4"/>
      <c r="HM88" s="4"/>
      <c r="HN88" s="4"/>
      <c r="HO88" s="4"/>
      <c r="HP88" s="4"/>
      <c r="HQ88" s="4"/>
      <c r="HR88" s="4"/>
      <c r="HS88" s="4"/>
      <c r="HT88" s="4"/>
      <c r="HU88" s="4"/>
      <c r="HV88" s="4"/>
      <c r="HW88" s="4"/>
      <c r="HX88" s="4"/>
      <c r="HY88" s="4"/>
      <c r="HZ88" s="4"/>
      <c r="IA88" s="4"/>
      <c r="IB88" s="4"/>
      <c r="IC88" s="4"/>
      <c r="ID88" s="4"/>
      <c r="IE88" s="4"/>
      <c r="IF88" s="4"/>
      <c r="IG88" s="4"/>
      <c r="IH88" s="4"/>
      <c r="II88" s="4"/>
      <c r="IJ88" s="4"/>
      <c r="IK88" s="4"/>
      <c r="IL88" s="4"/>
      <c r="IM88" s="4"/>
      <c r="IN88" s="4"/>
      <c r="IO88" s="4"/>
      <c r="IP88" s="4"/>
      <c r="IQ88" s="4"/>
      <c r="IR88" s="4"/>
      <c r="IS88" s="4"/>
      <c r="IT88" s="4"/>
      <c r="IU88" s="4"/>
      <c r="IV88" s="4"/>
      <c r="IW88" s="4"/>
      <c r="IX88" s="4"/>
      <c r="IY88" s="4"/>
      <c r="IZ88" s="4"/>
      <c r="JA88" s="4"/>
      <c r="JB88" s="4"/>
      <c r="JC88" s="4"/>
      <c r="JD88" s="4"/>
      <c r="JE88" s="4"/>
      <c r="JF88" s="4"/>
      <c r="JG88" s="4"/>
      <c r="JH88" s="4"/>
      <c r="JI88" s="4"/>
      <c r="JJ88" s="4"/>
      <c r="JK88" s="4"/>
      <c r="JL88" s="4"/>
      <c r="JM88" s="4"/>
      <c r="JN88" s="4"/>
      <c r="JO88" s="4"/>
      <c r="JP88" s="4"/>
      <c r="JQ88" s="4"/>
      <c r="JR88" s="4"/>
      <c r="JS88" s="4"/>
      <c r="JT88" s="4"/>
      <c r="JU88" s="4"/>
      <c r="JV88" s="4"/>
      <c r="JW88" s="4"/>
      <c r="JX88" s="4"/>
      <c r="JY88" s="4"/>
      <c r="JZ88" s="4"/>
      <c r="KA88" s="4"/>
      <c r="KB88" s="4"/>
      <c r="KC88" s="4"/>
      <c r="KD88" s="4"/>
      <c r="KE88" s="4"/>
      <c r="KF88" s="4"/>
      <c r="KG88" s="4"/>
      <c r="KH88" s="4"/>
      <c r="KI88" s="4"/>
      <c r="KJ88" s="4"/>
      <c r="KK88" s="4"/>
      <c r="KL88" s="4"/>
      <c r="KM88" s="4"/>
      <c r="KN88" s="4"/>
      <c r="KO88" s="4"/>
      <c r="KP88" s="4"/>
      <c r="KQ88" s="4"/>
      <c r="KR88" s="4"/>
      <c r="KS88" s="4"/>
      <c r="KT88" s="4"/>
      <c r="KU88" s="4"/>
      <c r="KV88" s="4"/>
      <c r="KW88" s="4"/>
      <c r="KX88" s="4"/>
      <c r="KY88" s="4"/>
      <c r="KZ88" s="4"/>
      <c r="LA88" s="4"/>
      <c r="LB88" s="4"/>
      <c r="LC88" s="4"/>
      <c r="LD88" s="4"/>
    </row>
    <row r="89" spans="1:316" ht="15" thickBot="1" x14ac:dyDescent="0.35">
      <c r="A89" s="24" t="s">
        <v>123</v>
      </c>
      <c r="B89" s="23">
        <f t="shared" si="10"/>
        <v>0</v>
      </c>
      <c r="C89" s="23">
        <f t="shared" si="11"/>
        <v>0</v>
      </c>
      <c r="D89" s="22">
        <f t="shared" si="12"/>
        <v>0</v>
      </c>
      <c r="E89" s="21">
        <f t="shared" si="13"/>
        <v>0</v>
      </c>
      <c r="F89" s="20">
        <f t="shared" si="14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  <c r="FR89" s="4"/>
      <c r="FS89" s="4"/>
      <c r="FT89" s="4"/>
      <c r="FU89" s="4"/>
      <c r="FV89" s="4"/>
      <c r="FW89" s="4"/>
      <c r="FX89" s="4"/>
      <c r="FY89" s="4"/>
      <c r="FZ89" s="4"/>
      <c r="GA89" s="4"/>
      <c r="GB89" s="4"/>
      <c r="GC89" s="4"/>
      <c r="GD89" s="4"/>
      <c r="GE89" s="4"/>
      <c r="GF89" s="4"/>
      <c r="GG89" s="4"/>
      <c r="GH89" s="4"/>
      <c r="GI89" s="4"/>
      <c r="GJ89" s="4"/>
      <c r="GK89" s="4"/>
      <c r="GL89" s="4"/>
      <c r="GM89" s="4"/>
      <c r="GN89" s="4"/>
      <c r="GO89" s="4"/>
      <c r="GP89" s="4"/>
      <c r="GQ89" s="4"/>
      <c r="GR89" s="4"/>
      <c r="GS89" s="4"/>
      <c r="GT89" s="4"/>
      <c r="GU89" s="4"/>
      <c r="GV89" s="4"/>
      <c r="GW89" s="4"/>
      <c r="GX89" s="4"/>
      <c r="GY89" s="4"/>
      <c r="GZ89" s="4"/>
      <c r="HA89" s="4"/>
      <c r="HB89" s="4"/>
      <c r="HC89" s="4"/>
      <c r="HD89" s="4"/>
      <c r="HE89" s="4"/>
      <c r="HF89" s="4"/>
      <c r="HG89" s="4"/>
      <c r="HH89" s="4"/>
      <c r="HI89" s="4"/>
      <c r="HJ89" s="4"/>
      <c r="HK89" s="4"/>
      <c r="HL89" s="4"/>
      <c r="HM89" s="4"/>
      <c r="HN89" s="4"/>
      <c r="HO89" s="4"/>
      <c r="HP89" s="4"/>
      <c r="HQ89" s="4"/>
      <c r="HR89" s="4"/>
      <c r="HS89" s="4"/>
      <c r="HT89" s="4"/>
      <c r="HU89" s="4"/>
      <c r="HV89" s="4"/>
      <c r="HW89" s="4"/>
      <c r="HX89" s="4"/>
      <c r="HY89" s="4"/>
      <c r="HZ89" s="4"/>
      <c r="IA89" s="4"/>
      <c r="IB89" s="4"/>
      <c r="IC89" s="4"/>
      <c r="ID89" s="4"/>
      <c r="IE89" s="4"/>
      <c r="IF89" s="4"/>
      <c r="IG89" s="4"/>
      <c r="IH89" s="4"/>
      <c r="II89" s="4"/>
      <c r="IJ89" s="4"/>
      <c r="IK89" s="4"/>
      <c r="IL89" s="4"/>
      <c r="IM89" s="4"/>
      <c r="IN89" s="4"/>
      <c r="IO89" s="4"/>
      <c r="IP89" s="4"/>
      <c r="IQ89" s="4"/>
      <c r="IR89" s="4"/>
      <c r="IS89" s="4"/>
      <c r="IT89" s="4"/>
      <c r="IU89" s="4"/>
      <c r="IV89" s="4"/>
      <c r="IW89" s="4"/>
      <c r="IX89" s="4"/>
      <c r="IY89" s="4"/>
      <c r="IZ89" s="4"/>
      <c r="JA89" s="4"/>
      <c r="JB89" s="4"/>
      <c r="JC89" s="4"/>
      <c r="JD89" s="4"/>
      <c r="JE89" s="4"/>
      <c r="JF89" s="4"/>
      <c r="JG89" s="4"/>
      <c r="JH89" s="4"/>
      <c r="JI89" s="4"/>
      <c r="JJ89" s="4"/>
      <c r="JK89" s="4"/>
      <c r="JL89" s="4"/>
      <c r="JM89" s="4"/>
      <c r="JN89" s="4"/>
      <c r="JO89" s="4"/>
      <c r="JP89" s="4"/>
      <c r="JQ89" s="4"/>
      <c r="JR89" s="4"/>
      <c r="JS89" s="4"/>
      <c r="JT89" s="4"/>
      <c r="JU89" s="4"/>
      <c r="JV89" s="4"/>
      <c r="JW89" s="4"/>
      <c r="JX89" s="4"/>
      <c r="JY89" s="4"/>
      <c r="JZ89" s="4"/>
      <c r="KA89" s="4"/>
      <c r="KB89" s="4"/>
      <c r="KC89" s="4"/>
      <c r="KD89" s="4"/>
      <c r="KE89" s="4"/>
      <c r="KF89" s="4"/>
      <c r="KG89" s="4"/>
      <c r="KH89" s="4"/>
      <c r="KI89" s="4"/>
      <c r="KJ89" s="4"/>
      <c r="KK89" s="4"/>
      <c r="KL89" s="4"/>
      <c r="KM89" s="4"/>
      <c r="KN89" s="4"/>
      <c r="KO89" s="4"/>
      <c r="KP89" s="4"/>
      <c r="KQ89" s="4"/>
      <c r="KR89" s="4"/>
      <c r="KS89" s="4"/>
      <c r="KT89" s="4"/>
      <c r="KU89" s="4"/>
      <c r="KV89" s="4"/>
      <c r="KW89" s="4"/>
      <c r="KX89" s="4"/>
      <c r="KY89" s="4"/>
      <c r="KZ89" s="4"/>
      <c r="LA89" s="4"/>
      <c r="LB89" s="4"/>
      <c r="LC89" s="4"/>
      <c r="LD89" s="4"/>
    </row>
    <row r="90" spans="1:316" s="15" customFormat="1" ht="15" thickBot="1" x14ac:dyDescent="0.35">
      <c r="A90" s="19" t="s">
        <v>111</v>
      </c>
      <c r="B90" s="18"/>
      <c r="C90" s="18"/>
      <c r="D90" s="18">
        <f>SUM(D81:D89)</f>
        <v>16164.4</v>
      </c>
      <c r="E90" s="17">
        <f>SUM(E81:E89)</f>
        <v>781150.63500000001</v>
      </c>
      <c r="F90" s="16"/>
      <c r="G90"/>
      <c r="H90"/>
      <c r="I90"/>
      <c r="J90"/>
      <c r="K90"/>
      <c r="L90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  <c r="FR90" s="4"/>
      <c r="FS90" s="4"/>
      <c r="FT90" s="4"/>
      <c r="FU90" s="4"/>
      <c r="FV90" s="4"/>
      <c r="FW90" s="4"/>
      <c r="FX90" s="4"/>
      <c r="FY90" s="4"/>
      <c r="FZ90" s="4"/>
      <c r="GA90" s="4"/>
      <c r="GB90" s="4"/>
      <c r="GC90" s="4"/>
      <c r="GD90" s="4"/>
      <c r="GE90" s="4"/>
      <c r="GF90" s="4"/>
      <c r="GG90" s="4"/>
      <c r="GH90" s="4"/>
      <c r="GI90" s="4"/>
      <c r="GJ90" s="4"/>
      <c r="GK90" s="4"/>
      <c r="GL90" s="4"/>
      <c r="GM90" s="4"/>
      <c r="GN90" s="4"/>
      <c r="GO90" s="4"/>
      <c r="GP90" s="4"/>
      <c r="GQ90" s="4"/>
      <c r="GR90" s="4"/>
      <c r="GS90" s="4"/>
      <c r="GT90" s="4"/>
      <c r="GU90" s="4"/>
      <c r="GV90" s="4"/>
      <c r="GW90" s="4"/>
      <c r="GX90" s="4"/>
      <c r="GY90" s="4"/>
      <c r="GZ90" s="4"/>
      <c r="HA90" s="4"/>
      <c r="HB90" s="4"/>
      <c r="HC90" s="4"/>
      <c r="HD90" s="4"/>
      <c r="HE90" s="4"/>
      <c r="HF90" s="4"/>
      <c r="HG90" s="4"/>
      <c r="HH90" s="4"/>
      <c r="HI90" s="4"/>
      <c r="HJ90" s="4"/>
      <c r="HK90" s="4"/>
      <c r="HL90" s="4"/>
      <c r="HM90" s="4"/>
      <c r="HN90" s="4"/>
      <c r="HO90" s="4"/>
      <c r="HP90" s="4"/>
      <c r="HQ90" s="4"/>
      <c r="HR90" s="4"/>
      <c r="HS90" s="4"/>
      <c r="HT90" s="4"/>
      <c r="HU90" s="4"/>
      <c r="HV90" s="4"/>
      <c r="HW90" s="4"/>
      <c r="HX90" s="4"/>
      <c r="HY90" s="4"/>
      <c r="HZ90" s="4"/>
      <c r="IA90" s="4"/>
      <c r="IB90" s="4"/>
      <c r="IC90" s="4"/>
      <c r="ID90" s="4"/>
      <c r="IE90" s="4"/>
      <c r="IF90" s="4"/>
      <c r="IG90" s="4"/>
      <c r="IH90" s="4"/>
      <c r="II90" s="4"/>
      <c r="IJ90" s="4"/>
      <c r="IK90" s="4"/>
      <c r="IL90" s="4"/>
      <c r="IM90" s="4"/>
      <c r="IN90" s="4"/>
      <c r="IO90" s="4"/>
      <c r="IP90" s="4"/>
      <c r="IQ90" s="4"/>
      <c r="IR90" s="4"/>
      <c r="IS90" s="4"/>
      <c r="IT90" s="4"/>
      <c r="IU90" s="4"/>
      <c r="IV90" s="4"/>
      <c r="IW90" s="4"/>
      <c r="IX90" s="4"/>
      <c r="IY90" s="4"/>
      <c r="IZ90" s="4"/>
      <c r="JA90" s="4"/>
      <c r="JB90" s="4"/>
      <c r="JC90" s="4"/>
      <c r="JD90" s="4"/>
      <c r="JE90" s="4"/>
      <c r="JF90" s="4"/>
      <c r="JG90" s="4"/>
      <c r="JH90" s="4"/>
      <c r="JI90" s="4"/>
      <c r="JJ90" s="4"/>
      <c r="JK90" s="4"/>
      <c r="JL90" s="4"/>
      <c r="JM90" s="4"/>
      <c r="JN90" s="4"/>
      <c r="JO90" s="4"/>
      <c r="JP90" s="4"/>
      <c r="JQ90" s="4"/>
      <c r="JR90" s="4"/>
      <c r="JS90" s="4"/>
      <c r="JT90" s="4"/>
      <c r="JU90" s="4"/>
      <c r="JV90" s="4"/>
      <c r="JW90" s="4"/>
      <c r="JX90" s="4"/>
      <c r="JY90" s="4"/>
      <c r="JZ90" s="4"/>
      <c r="KA90" s="4"/>
      <c r="KB90" s="4"/>
      <c r="KC90" s="4"/>
      <c r="KD90" s="4"/>
      <c r="KE90" s="4"/>
      <c r="KF90" s="4"/>
      <c r="KG90" s="4"/>
      <c r="KH90" s="4"/>
      <c r="KI90" s="4"/>
      <c r="KJ90" s="4"/>
      <c r="KK90" s="4"/>
      <c r="KL90" s="4"/>
      <c r="KM90" s="4"/>
      <c r="KN90" s="4"/>
      <c r="KO90" s="4"/>
      <c r="KP90" s="4"/>
      <c r="KQ90" s="4"/>
      <c r="KR90" s="4"/>
      <c r="KS90" s="4"/>
      <c r="KT90" s="4"/>
      <c r="KU90" s="4"/>
      <c r="KV90" s="4"/>
      <c r="KW90" s="4"/>
      <c r="KX90" s="4"/>
      <c r="KY90" s="4"/>
      <c r="KZ90" s="4"/>
      <c r="LA90" s="4"/>
      <c r="LB90" s="4"/>
      <c r="LC90" s="4"/>
      <c r="LD90" s="4"/>
    </row>
  </sheetData>
  <pageMargins left="0.7" right="0.7" top="0.75" bottom="0.75" header="0.3" footer="0.3"/>
  <pageSetup paperSize="9" orientation="landscape" r:id="rId1"/>
  <rowBreaks count="2" manualBreakCount="2">
    <brk id="24" max="16383" man="1"/>
    <brk id="50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2"/>
  <sheetViews>
    <sheetView topLeftCell="D1" workbookViewId="0">
      <selection activeCell="P3" sqref="P3"/>
    </sheetView>
  </sheetViews>
  <sheetFormatPr defaultRowHeight="14.4" x14ac:dyDescent="0.3"/>
  <cols>
    <col min="1" max="1" width="3" bestFit="1" customWidth="1"/>
    <col min="2" max="2" width="4" bestFit="1" customWidth="1"/>
    <col min="3" max="3" width="3" bestFit="1" customWidth="1"/>
    <col min="4" max="4" width="38.5546875" customWidth="1"/>
    <col min="5" max="5" width="23.77734375" bestFit="1" customWidth="1"/>
    <col min="9" max="9" width="9.44140625" bestFit="1" customWidth="1"/>
    <col min="10" max="10" width="14.44140625" bestFit="1" customWidth="1"/>
    <col min="11" max="11" width="10.44140625" bestFit="1" customWidth="1"/>
    <col min="12" max="12" width="14.109375" customWidth="1"/>
    <col min="14" max="14" width="8.88671875" bestFit="1" customWidth="1"/>
    <col min="15" max="15" width="33" bestFit="1" customWidth="1"/>
    <col min="16" max="16" width="11.77734375" bestFit="1" customWidth="1"/>
    <col min="17" max="17" width="21.6640625" bestFit="1" customWidth="1"/>
    <col min="18" max="18" width="23.77734375" bestFit="1" customWidth="1"/>
  </cols>
  <sheetData>
    <row r="1" spans="1:16" ht="15" thickBot="1" x14ac:dyDescent="0.35">
      <c r="A1" s="127" t="s">
        <v>191</v>
      </c>
      <c r="B1" s="128"/>
      <c r="C1" s="128"/>
      <c r="D1" s="128"/>
      <c r="E1" s="128"/>
      <c r="F1" s="128"/>
      <c r="G1" s="128"/>
      <c r="H1" s="128"/>
      <c r="I1" s="128"/>
      <c r="J1" s="128"/>
      <c r="K1" s="129"/>
      <c r="L1" s="125" t="s">
        <v>213</v>
      </c>
      <c r="N1" s="130" t="s">
        <v>203</v>
      </c>
      <c r="O1" s="131"/>
      <c r="P1" s="135"/>
    </row>
    <row r="2" spans="1:16" x14ac:dyDescent="0.3">
      <c r="A2" s="12" t="s">
        <v>0</v>
      </c>
      <c r="B2" s="13" t="s">
        <v>1</v>
      </c>
      <c r="C2" s="13" t="s">
        <v>2</v>
      </c>
      <c r="D2" s="13" t="s">
        <v>15</v>
      </c>
      <c r="E2" s="13" t="s">
        <v>19</v>
      </c>
      <c r="F2" s="13" t="s">
        <v>16</v>
      </c>
      <c r="G2" s="13" t="s">
        <v>17</v>
      </c>
      <c r="H2" s="13" t="s">
        <v>18</v>
      </c>
      <c r="I2" s="13" t="s">
        <v>3</v>
      </c>
      <c r="J2" s="13" t="s">
        <v>5</v>
      </c>
      <c r="K2" s="14" t="s">
        <v>4</v>
      </c>
      <c r="L2" s="118"/>
      <c r="N2" s="119" t="s">
        <v>205</v>
      </c>
      <c r="O2" s="118" t="s">
        <v>204</v>
      </c>
      <c r="P2" s="120" t="s">
        <v>4</v>
      </c>
    </row>
    <row r="3" spans="1:16" x14ac:dyDescent="0.3">
      <c r="A3" s="5" t="s">
        <v>6</v>
      </c>
      <c r="B3" s="6"/>
      <c r="C3" s="6"/>
      <c r="D3" s="7" t="s">
        <v>20</v>
      </c>
      <c r="H3" s="111" t="str">
        <f t="shared" ref="H3:H34" si="0">_xlfn.XLOOKUP(E3,$Q$20:$Q$25,$R$20:$R$25,"")</f>
        <v/>
      </c>
      <c r="I3" s="111" t="str">
        <f>IFERROR(H3*F3,"")</f>
        <v/>
      </c>
      <c r="K3" s="115">
        <f>SUM(J4:J19)</f>
        <v>1493.463760343242</v>
      </c>
      <c r="L3" s="110" t="str">
        <f>IFERROR(I3+($P$10*F3),"")</f>
        <v/>
      </c>
      <c r="N3" s="5" t="s">
        <v>6</v>
      </c>
      <c r="O3" t="s">
        <v>206</v>
      </c>
      <c r="P3" s="121">
        <f>K74</f>
        <v>13026.517352669423</v>
      </c>
    </row>
    <row r="4" spans="1:16" x14ac:dyDescent="0.3">
      <c r="A4" s="5"/>
      <c r="B4" s="6" t="s">
        <v>7</v>
      </c>
      <c r="C4" s="6"/>
      <c r="D4" s="1" t="s">
        <v>21</v>
      </c>
      <c r="E4" t="s">
        <v>104</v>
      </c>
      <c r="F4">
        <v>2</v>
      </c>
      <c r="G4" t="s">
        <v>103</v>
      </c>
      <c r="H4" s="111">
        <f t="shared" si="0"/>
        <v>49.782125344774748</v>
      </c>
      <c r="I4" s="111">
        <f t="shared" ref="I4:I67" si="1">IFERROR(H4*F4,"")</f>
        <v>99.564250689549496</v>
      </c>
      <c r="J4" s="111">
        <f>I4</f>
        <v>99.564250689549496</v>
      </c>
      <c r="K4" s="112"/>
      <c r="L4" s="110">
        <f t="shared" ref="L4:L67" si="2">IFERROR(I4+($P$10*F4),"")</f>
        <v>122.72425068954949</v>
      </c>
      <c r="N4" s="5" t="s">
        <v>8</v>
      </c>
      <c r="O4" t="s">
        <v>207</v>
      </c>
      <c r="P4" s="121">
        <f>K81</f>
        <v>172.5</v>
      </c>
    </row>
    <row r="5" spans="1:16" x14ac:dyDescent="0.3">
      <c r="A5" s="5"/>
      <c r="B5" s="6" t="s">
        <v>13</v>
      </c>
      <c r="C5" s="6"/>
      <c r="D5" s="1" t="s">
        <v>22</v>
      </c>
      <c r="E5" t="s">
        <v>104</v>
      </c>
      <c r="F5">
        <v>2</v>
      </c>
      <c r="G5" t="s">
        <v>103</v>
      </c>
      <c r="H5" s="111">
        <f t="shared" si="0"/>
        <v>49.782125344774748</v>
      </c>
      <c r="I5" s="111">
        <f t="shared" si="1"/>
        <v>99.564250689549496</v>
      </c>
      <c r="J5" s="111">
        <f>I5</f>
        <v>99.564250689549496</v>
      </c>
      <c r="K5" s="112"/>
      <c r="L5" s="110">
        <f t="shared" si="2"/>
        <v>122.72425068954949</v>
      </c>
      <c r="N5" s="130" t="s">
        <v>115</v>
      </c>
      <c r="O5" s="131"/>
      <c r="P5" s="122">
        <f>SUM(P3:P4)</f>
        <v>13199.017352669423</v>
      </c>
    </row>
    <row r="6" spans="1:16" x14ac:dyDescent="0.3">
      <c r="A6" s="5"/>
      <c r="B6" s="6" t="s">
        <v>14</v>
      </c>
      <c r="C6" s="6"/>
      <c r="D6" s="1" t="s">
        <v>23</v>
      </c>
      <c r="H6" s="111" t="str">
        <f t="shared" si="0"/>
        <v/>
      </c>
      <c r="I6" s="111" t="str">
        <f t="shared" si="1"/>
        <v/>
      </c>
      <c r="J6" s="111">
        <f>SUM(I7:I19)</f>
        <v>1294.3352589641431</v>
      </c>
      <c r="K6" s="112"/>
      <c r="L6" s="110"/>
    </row>
    <row r="7" spans="1:16" x14ac:dyDescent="0.3">
      <c r="A7" s="5"/>
      <c r="B7" s="6"/>
      <c r="C7" s="6" t="s">
        <v>6</v>
      </c>
      <c r="D7" s="1" t="s">
        <v>24</v>
      </c>
      <c r="E7" t="s">
        <v>104</v>
      </c>
      <c r="F7">
        <v>2</v>
      </c>
      <c r="G7" t="s">
        <v>103</v>
      </c>
      <c r="H7" s="111">
        <f t="shared" si="0"/>
        <v>49.782125344774748</v>
      </c>
      <c r="I7" s="111">
        <f t="shared" si="1"/>
        <v>99.564250689549496</v>
      </c>
      <c r="J7" s="111"/>
      <c r="K7" s="112"/>
      <c r="L7" s="110">
        <f t="shared" si="2"/>
        <v>122.72425068954949</v>
      </c>
      <c r="O7" t="s">
        <v>208</v>
      </c>
      <c r="P7" s="111">
        <f>0.25*(P3+P4)</f>
        <v>3299.7543381673559</v>
      </c>
    </row>
    <row r="8" spans="1:16" x14ac:dyDescent="0.3">
      <c r="A8" s="5"/>
      <c r="B8" s="6"/>
      <c r="C8" s="6" t="s">
        <v>8</v>
      </c>
      <c r="D8" s="1" t="s">
        <v>25</v>
      </c>
      <c r="E8" t="s">
        <v>104</v>
      </c>
      <c r="F8">
        <v>2</v>
      </c>
      <c r="G8" t="s">
        <v>103</v>
      </c>
      <c r="H8" s="111">
        <f t="shared" si="0"/>
        <v>49.782125344774748</v>
      </c>
      <c r="I8" s="111">
        <f t="shared" si="1"/>
        <v>99.564250689549496</v>
      </c>
      <c r="J8" s="111"/>
      <c r="K8" s="112"/>
      <c r="L8" s="110">
        <f t="shared" si="2"/>
        <v>122.72425068954949</v>
      </c>
      <c r="O8" t="s">
        <v>211</v>
      </c>
      <c r="P8" s="111">
        <f>P5+P7-P3</f>
        <v>3472.2543381673568</v>
      </c>
    </row>
    <row r="9" spans="1:16" x14ac:dyDescent="0.3">
      <c r="A9" s="5"/>
      <c r="B9" s="6"/>
      <c r="C9" s="6" t="s">
        <v>9</v>
      </c>
      <c r="D9" s="1" t="s">
        <v>26</v>
      </c>
      <c r="E9" t="s">
        <v>104</v>
      </c>
      <c r="F9">
        <v>2</v>
      </c>
      <c r="G9" t="s">
        <v>103</v>
      </c>
      <c r="H9" s="111">
        <f t="shared" si="0"/>
        <v>49.782125344774748</v>
      </c>
      <c r="I9" s="111">
        <f t="shared" si="1"/>
        <v>99.564250689549496</v>
      </c>
      <c r="J9" s="111"/>
      <c r="K9" s="112"/>
      <c r="L9" s="110">
        <f t="shared" si="2"/>
        <v>122.72425068954949</v>
      </c>
      <c r="O9" t="s">
        <v>214</v>
      </c>
      <c r="P9" s="126">
        <f>SUM(F4:F73)</f>
        <v>300</v>
      </c>
    </row>
    <row r="10" spans="1:16" x14ac:dyDescent="0.3">
      <c r="A10" s="5"/>
      <c r="B10" s="6"/>
      <c r="C10" s="6" t="s">
        <v>10</v>
      </c>
      <c r="D10" s="1" t="s">
        <v>27</v>
      </c>
      <c r="E10" t="s">
        <v>104</v>
      </c>
      <c r="F10">
        <v>2</v>
      </c>
      <c r="G10" t="s">
        <v>103</v>
      </c>
      <c r="H10" s="111">
        <f t="shared" si="0"/>
        <v>49.782125344774748</v>
      </c>
      <c r="I10" s="111">
        <f t="shared" si="1"/>
        <v>99.564250689549496</v>
      </c>
      <c r="J10" s="111"/>
      <c r="K10" s="112"/>
      <c r="L10" s="110">
        <f t="shared" si="2"/>
        <v>122.72425068954949</v>
      </c>
      <c r="O10" t="s">
        <v>215</v>
      </c>
      <c r="P10" s="123">
        <f>ROUNDUP(P8/P9,2)</f>
        <v>11.58</v>
      </c>
    </row>
    <row r="11" spans="1:16" x14ac:dyDescent="0.3">
      <c r="A11" s="5"/>
      <c r="B11" s="6"/>
      <c r="C11" s="6" t="s">
        <v>11</v>
      </c>
      <c r="D11" s="1" t="s">
        <v>28</v>
      </c>
      <c r="E11" t="s">
        <v>104</v>
      </c>
      <c r="F11">
        <v>2</v>
      </c>
      <c r="G11" t="s">
        <v>103</v>
      </c>
      <c r="H11" s="111">
        <f t="shared" si="0"/>
        <v>49.782125344774748</v>
      </c>
      <c r="I11" s="111">
        <f t="shared" si="1"/>
        <v>99.564250689549496</v>
      </c>
      <c r="J11" s="111"/>
      <c r="K11" s="112"/>
      <c r="L11" s="110">
        <f t="shared" si="2"/>
        <v>122.72425068954949</v>
      </c>
    </row>
    <row r="12" spans="1:16" x14ac:dyDescent="0.3">
      <c r="A12" s="5"/>
      <c r="B12" s="6"/>
      <c r="C12" s="6" t="s">
        <v>12</v>
      </c>
      <c r="D12" s="1" t="s">
        <v>29</v>
      </c>
      <c r="E12" t="s">
        <v>104</v>
      </c>
      <c r="F12">
        <v>2</v>
      </c>
      <c r="G12" t="s">
        <v>103</v>
      </c>
      <c r="H12" s="111">
        <f t="shared" si="0"/>
        <v>49.782125344774748</v>
      </c>
      <c r="I12" s="111">
        <f t="shared" si="1"/>
        <v>99.564250689549496</v>
      </c>
      <c r="J12" s="111"/>
      <c r="K12" s="112"/>
      <c r="L12" s="110">
        <f t="shared" si="2"/>
        <v>122.72425068954949</v>
      </c>
    </row>
    <row r="13" spans="1:16" x14ac:dyDescent="0.3">
      <c r="A13" s="5"/>
      <c r="B13" s="6"/>
      <c r="C13" s="6" t="s">
        <v>87</v>
      </c>
      <c r="D13" s="1" t="s">
        <v>30</v>
      </c>
      <c r="E13" t="s">
        <v>104</v>
      </c>
      <c r="F13">
        <v>2</v>
      </c>
      <c r="G13" t="s">
        <v>103</v>
      </c>
      <c r="H13" s="111">
        <f t="shared" si="0"/>
        <v>49.782125344774748</v>
      </c>
      <c r="I13" s="111">
        <f t="shared" si="1"/>
        <v>99.564250689549496</v>
      </c>
      <c r="J13" s="111"/>
      <c r="K13" s="112"/>
      <c r="L13" s="110">
        <f t="shared" si="2"/>
        <v>122.72425068954949</v>
      </c>
    </row>
    <row r="14" spans="1:16" x14ac:dyDescent="0.3">
      <c r="A14" s="5"/>
      <c r="B14" s="6"/>
      <c r="C14" s="6" t="s">
        <v>88</v>
      </c>
      <c r="D14" s="1" t="s">
        <v>31</v>
      </c>
      <c r="E14" t="s">
        <v>104</v>
      </c>
      <c r="F14">
        <v>2</v>
      </c>
      <c r="G14" t="s">
        <v>103</v>
      </c>
      <c r="H14" s="111">
        <f t="shared" si="0"/>
        <v>49.782125344774748</v>
      </c>
      <c r="I14" s="111">
        <f t="shared" si="1"/>
        <v>99.564250689549496</v>
      </c>
      <c r="J14" s="111"/>
      <c r="K14" s="112"/>
      <c r="L14" s="110">
        <f t="shared" si="2"/>
        <v>122.72425068954949</v>
      </c>
    </row>
    <row r="15" spans="1:16" x14ac:dyDescent="0.3">
      <c r="A15" s="5"/>
      <c r="B15" s="6"/>
      <c r="C15" s="6" t="s">
        <v>89</v>
      </c>
      <c r="D15" s="1" t="s">
        <v>32</v>
      </c>
      <c r="E15" t="s">
        <v>104</v>
      </c>
      <c r="F15">
        <v>2</v>
      </c>
      <c r="G15" t="s">
        <v>103</v>
      </c>
      <c r="H15" s="111">
        <f t="shared" si="0"/>
        <v>49.782125344774748</v>
      </c>
      <c r="I15" s="111">
        <f t="shared" si="1"/>
        <v>99.564250689549496</v>
      </c>
      <c r="J15" s="111"/>
      <c r="K15" s="112"/>
      <c r="L15" s="110">
        <f t="shared" si="2"/>
        <v>122.72425068954949</v>
      </c>
    </row>
    <row r="16" spans="1:16" x14ac:dyDescent="0.3">
      <c r="A16" s="5"/>
      <c r="B16" s="6"/>
      <c r="C16" s="6" t="s">
        <v>90</v>
      </c>
      <c r="D16" s="1" t="s">
        <v>33</v>
      </c>
      <c r="E16" t="s">
        <v>104</v>
      </c>
      <c r="F16">
        <v>2</v>
      </c>
      <c r="G16" t="s">
        <v>103</v>
      </c>
      <c r="H16" s="111">
        <f t="shared" si="0"/>
        <v>49.782125344774748</v>
      </c>
      <c r="I16" s="111">
        <f t="shared" si="1"/>
        <v>99.564250689549496</v>
      </c>
      <c r="J16" s="111"/>
      <c r="K16" s="112"/>
      <c r="L16" s="110">
        <f t="shared" si="2"/>
        <v>122.72425068954949</v>
      </c>
    </row>
    <row r="17" spans="1:18" x14ac:dyDescent="0.3">
      <c r="A17" s="5"/>
      <c r="B17" s="6"/>
      <c r="C17" s="6" t="s">
        <v>91</v>
      </c>
      <c r="D17" s="1" t="s">
        <v>34</v>
      </c>
      <c r="E17" t="s">
        <v>104</v>
      </c>
      <c r="F17">
        <v>2</v>
      </c>
      <c r="G17" t="s">
        <v>103</v>
      </c>
      <c r="H17" s="111">
        <f t="shared" si="0"/>
        <v>49.782125344774748</v>
      </c>
      <c r="I17" s="111">
        <f t="shared" si="1"/>
        <v>99.564250689549496</v>
      </c>
      <c r="J17" s="111"/>
      <c r="K17" s="112"/>
      <c r="L17" s="110">
        <f t="shared" si="2"/>
        <v>122.72425068954949</v>
      </c>
    </row>
    <row r="18" spans="1:18" x14ac:dyDescent="0.3">
      <c r="A18" s="5"/>
      <c r="B18" s="6"/>
      <c r="C18" s="6" t="s">
        <v>92</v>
      </c>
      <c r="D18" s="1" t="s">
        <v>35</v>
      </c>
      <c r="E18" t="s">
        <v>104</v>
      </c>
      <c r="F18">
        <v>2</v>
      </c>
      <c r="G18" t="s">
        <v>103</v>
      </c>
      <c r="H18" s="111">
        <f t="shared" si="0"/>
        <v>49.782125344774748</v>
      </c>
      <c r="I18" s="111">
        <f t="shared" si="1"/>
        <v>99.564250689549496</v>
      </c>
      <c r="J18" s="111"/>
      <c r="K18" s="112"/>
      <c r="L18" s="110">
        <f t="shared" si="2"/>
        <v>122.72425068954949</v>
      </c>
    </row>
    <row r="19" spans="1:18" x14ac:dyDescent="0.3">
      <c r="A19" s="5"/>
      <c r="B19" s="6"/>
      <c r="C19" s="6" t="s">
        <v>93</v>
      </c>
      <c r="D19" s="1" t="s">
        <v>36</v>
      </c>
      <c r="E19" t="s">
        <v>104</v>
      </c>
      <c r="F19">
        <v>2</v>
      </c>
      <c r="G19" t="s">
        <v>103</v>
      </c>
      <c r="H19" s="111">
        <f t="shared" si="0"/>
        <v>49.782125344774748</v>
      </c>
      <c r="I19" s="111">
        <f t="shared" si="1"/>
        <v>99.564250689549496</v>
      </c>
      <c r="J19" s="111"/>
      <c r="K19" s="112"/>
      <c r="L19" s="110">
        <f t="shared" si="2"/>
        <v>122.72425068954949</v>
      </c>
      <c r="Q19" s="7" t="s">
        <v>105</v>
      </c>
      <c r="R19" t="s">
        <v>190</v>
      </c>
    </row>
    <row r="20" spans="1:18" x14ac:dyDescent="0.3">
      <c r="A20" s="5" t="s">
        <v>8</v>
      </c>
      <c r="B20" s="6"/>
      <c r="C20" s="6"/>
      <c r="D20" s="7" t="s">
        <v>37</v>
      </c>
      <c r="H20" s="111" t="str">
        <f t="shared" si="0"/>
        <v/>
      </c>
      <c r="I20" s="111" t="str">
        <f t="shared" si="1"/>
        <v/>
      </c>
      <c r="J20" s="111"/>
      <c r="K20" s="112">
        <f>SUM(J21:J30)</f>
        <v>2307.2124370166389</v>
      </c>
      <c r="L20" s="110" t="str">
        <f t="shared" si="2"/>
        <v/>
      </c>
      <c r="Q20" t="s">
        <v>104</v>
      </c>
      <c r="R20" s="110">
        <f>'Company definition'!F82</f>
        <v>49.782125344774748</v>
      </c>
    </row>
    <row r="21" spans="1:18" x14ac:dyDescent="0.3">
      <c r="A21" s="5"/>
      <c r="B21" s="6" t="s">
        <v>7</v>
      </c>
      <c r="C21" s="6"/>
      <c r="D21" s="1" t="s">
        <v>38</v>
      </c>
      <c r="E21" t="s">
        <v>106</v>
      </c>
      <c r="F21">
        <v>1</v>
      </c>
      <c r="G21" t="s">
        <v>103</v>
      </c>
      <c r="H21" s="111">
        <f t="shared" si="0"/>
        <v>42.159269173306768</v>
      </c>
      <c r="I21" s="111">
        <f t="shared" si="1"/>
        <v>42.159269173306768</v>
      </c>
      <c r="J21" s="111">
        <f t="shared" ref="J21:J30" si="3">I21</f>
        <v>42.159269173306768</v>
      </c>
      <c r="K21" s="112"/>
      <c r="L21" s="110">
        <f t="shared" si="2"/>
        <v>53.739269173306766</v>
      </c>
      <c r="Q21" t="s">
        <v>107</v>
      </c>
      <c r="R21" s="110">
        <f>'Company definition'!F85</f>
        <v>45.220459339114129</v>
      </c>
    </row>
    <row r="22" spans="1:18" x14ac:dyDescent="0.3">
      <c r="A22" s="5"/>
      <c r="B22" s="6" t="s">
        <v>13</v>
      </c>
      <c r="C22" s="6"/>
      <c r="D22" s="1" t="s">
        <v>39</v>
      </c>
      <c r="E22" t="s">
        <v>107</v>
      </c>
      <c r="F22">
        <v>4</v>
      </c>
      <c r="G22" t="s">
        <v>103</v>
      </c>
      <c r="H22" s="111">
        <f t="shared" si="0"/>
        <v>45.220459339114129</v>
      </c>
      <c r="I22" s="111">
        <f t="shared" si="1"/>
        <v>180.88183735645651</v>
      </c>
      <c r="J22" s="111">
        <f t="shared" si="3"/>
        <v>180.88183735645651</v>
      </c>
      <c r="K22" s="112"/>
      <c r="L22" s="110">
        <f t="shared" si="2"/>
        <v>227.20183735645651</v>
      </c>
      <c r="Q22" t="s">
        <v>106</v>
      </c>
      <c r="R22" s="110">
        <f>'Company definition'!F84</f>
        <v>42.159269173306768</v>
      </c>
    </row>
    <row r="23" spans="1:18" x14ac:dyDescent="0.3">
      <c r="A23" s="5"/>
      <c r="B23" s="6" t="s">
        <v>14</v>
      </c>
      <c r="C23" s="6"/>
      <c r="D23" s="1" t="s">
        <v>40</v>
      </c>
      <c r="E23" t="s">
        <v>106</v>
      </c>
      <c r="F23">
        <v>2</v>
      </c>
      <c r="G23" t="s">
        <v>103</v>
      </c>
      <c r="H23" s="111">
        <f t="shared" si="0"/>
        <v>42.159269173306768</v>
      </c>
      <c r="I23" s="111">
        <f t="shared" si="1"/>
        <v>84.318538346613536</v>
      </c>
      <c r="J23" s="111">
        <f t="shared" si="3"/>
        <v>84.318538346613536</v>
      </c>
      <c r="K23" s="112"/>
      <c r="L23" s="110">
        <f t="shared" si="2"/>
        <v>107.47853834661353</v>
      </c>
      <c r="Q23" t="s">
        <v>108</v>
      </c>
      <c r="R23" s="110">
        <f>'Company definition'!F86</f>
        <v>49.154057104913683</v>
      </c>
    </row>
    <row r="24" spans="1:18" x14ac:dyDescent="0.3">
      <c r="A24" s="5"/>
      <c r="B24" s="6" t="s">
        <v>94</v>
      </c>
      <c r="C24" s="6"/>
      <c r="D24" s="1" t="s">
        <v>41</v>
      </c>
      <c r="E24" t="s">
        <v>106</v>
      </c>
      <c r="F24">
        <v>1</v>
      </c>
      <c r="G24" t="s">
        <v>103</v>
      </c>
      <c r="H24" s="111">
        <f t="shared" si="0"/>
        <v>42.159269173306768</v>
      </c>
      <c r="I24" s="111">
        <f t="shared" si="1"/>
        <v>42.159269173306768</v>
      </c>
      <c r="J24" s="111">
        <f t="shared" si="3"/>
        <v>42.159269173306768</v>
      </c>
      <c r="K24" s="112"/>
      <c r="L24" s="110">
        <f t="shared" si="2"/>
        <v>53.739269173306766</v>
      </c>
      <c r="Q24" t="s">
        <v>109</v>
      </c>
      <c r="R24" s="110">
        <f>'Company definition'!F87</f>
        <v>43.846666276072185</v>
      </c>
    </row>
    <row r="25" spans="1:18" x14ac:dyDescent="0.3">
      <c r="A25" s="5"/>
      <c r="B25" s="6" t="s">
        <v>95</v>
      </c>
      <c r="C25" s="6"/>
      <c r="D25" s="1" t="s">
        <v>42</v>
      </c>
      <c r="E25" t="s">
        <v>106</v>
      </c>
      <c r="F25">
        <v>2</v>
      </c>
      <c r="G25" t="s">
        <v>103</v>
      </c>
      <c r="H25" s="111">
        <f t="shared" si="0"/>
        <v>42.159269173306768</v>
      </c>
      <c r="I25" s="111">
        <f t="shared" si="1"/>
        <v>84.318538346613536</v>
      </c>
      <c r="J25" s="111">
        <f t="shared" si="3"/>
        <v>84.318538346613536</v>
      </c>
      <c r="K25" s="112"/>
      <c r="L25" s="110">
        <f t="shared" si="2"/>
        <v>107.47853834661353</v>
      </c>
      <c r="Q25" t="s">
        <v>110</v>
      </c>
      <c r="R25" s="110">
        <f>'Company definition'!F88</f>
        <v>38.551814171883898</v>
      </c>
    </row>
    <row r="26" spans="1:18" x14ac:dyDescent="0.3">
      <c r="A26" s="5"/>
      <c r="B26" s="6" t="s">
        <v>96</v>
      </c>
      <c r="C26" s="6"/>
      <c r="D26" s="1" t="s">
        <v>43</v>
      </c>
      <c r="E26" t="s">
        <v>107</v>
      </c>
      <c r="F26">
        <v>6</v>
      </c>
      <c r="G26" t="s">
        <v>103</v>
      </c>
      <c r="H26" s="111">
        <f t="shared" si="0"/>
        <v>45.220459339114129</v>
      </c>
      <c r="I26" s="111">
        <f t="shared" si="1"/>
        <v>271.32275603468474</v>
      </c>
      <c r="J26" s="111">
        <f t="shared" si="3"/>
        <v>271.32275603468474</v>
      </c>
      <c r="K26" s="112"/>
      <c r="L26" s="110">
        <f t="shared" si="2"/>
        <v>340.80275603468476</v>
      </c>
    </row>
    <row r="27" spans="1:18" x14ac:dyDescent="0.3">
      <c r="A27" s="5"/>
      <c r="B27" s="6" t="s">
        <v>97</v>
      </c>
      <c r="C27" s="6"/>
      <c r="D27" s="1" t="s">
        <v>44</v>
      </c>
      <c r="E27" t="s">
        <v>106</v>
      </c>
      <c r="F27">
        <v>22</v>
      </c>
      <c r="G27" t="s">
        <v>103</v>
      </c>
      <c r="H27" s="111">
        <f t="shared" si="0"/>
        <v>42.159269173306768</v>
      </c>
      <c r="I27" s="111">
        <f t="shared" si="1"/>
        <v>927.5039218127489</v>
      </c>
      <c r="J27" s="111">
        <f t="shared" si="3"/>
        <v>927.5039218127489</v>
      </c>
      <c r="K27" s="112"/>
      <c r="L27" s="110">
        <f t="shared" si="2"/>
        <v>1182.2639218127488</v>
      </c>
    </row>
    <row r="28" spans="1:18" x14ac:dyDescent="0.3">
      <c r="A28" s="5"/>
      <c r="B28" s="6" t="s">
        <v>98</v>
      </c>
      <c r="C28" s="6"/>
      <c r="D28" s="1" t="s">
        <v>45</v>
      </c>
      <c r="E28" t="s">
        <v>106</v>
      </c>
      <c r="F28">
        <v>6</v>
      </c>
      <c r="G28" t="s">
        <v>103</v>
      </c>
      <c r="H28" s="111">
        <f t="shared" si="0"/>
        <v>42.159269173306768</v>
      </c>
      <c r="I28" s="111">
        <f t="shared" si="1"/>
        <v>252.95561503984061</v>
      </c>
      <c r="J28" s="111">
        <f t="shared" si="3"/>
        <v>252.95561503984061</v>
      </c>
      <c r="K28" s="112"/>
      <c r="L28" s="110">
        <f t="shared" si="2"/>
        <v>322.43561503984063</v>
      </c>
    </row>
    <row r="29" spans="1:18" x14ac:dyDescent="0.3">
      <c r="A29" s="5"/>
      <c r="B29" s="6" t="s">
        <v>99</v>
      </c>
      <c r="C29" s="6"/>
      <c r="D29" s="1" t="s">
        <v>46</v>
      </c>
      <c r="E29" t="s">
        <v>106</v>
      </c>
      <c r="F29">
        <v>2</v>
      </c>
      <c r="G29" t="s">
        <v>103</v>
      </c>
      <c r="H29" s="111">
        <f t="shared" si="0"/>
        <v>42.159269173306768</v>
      </c>
      <c r="I29" s="111">
        <f t="shared" si="1"/>
        <v>84.318538346613536</v>
      </c>
      <c r="J29" s="111">
        <f t="shared" si="3"/>
        <v>84.318538346613536</v>
      </c>
      <c r="K29" s="112"/>
      <c r="L29" s="110">
        <f t="shared" si="2"/>
        <v>107.47853834661353</v>
      </c>
    </row>
    <row r="30" spans="1:18" x14ac:dyDescent="0.3">
      <c r="A30" s="5"/>
      <c r="B30" s="6" t="s">
        <v>100</v>
      </c>
      <c r="C30" s="6"/>
      <c r="D30" s="1" t="s">
        <v>47</v>
      </c>
      <c r="E30" t="s">
        <v>106</v>
      </c>
      <c r="F30">
        <v>8</v>
      </c>
      <c r="G30" t="s">
        <v>103</v>
      </c>
      <c r="H30" s="111">
        <f t="shared" si="0"/>
        <v>42.159269173306768</v>
      </c>
      <c r="I30" s="111">
        <f t="shared" si="1"/>
        <v>337.27415338645415</v>
      </c>
      <c r="J30" s="111">
        <f t="shared" si="3"/>
        <v>337.27415338645415</v>
      </c>
      <c r="K30" s="112"/>
      <c r="L30" s="110">
        <f t="shared" si="2"/>
        <v>429.91415338645413</v>
      </c>
    </row>
    <row r="31" spans="1:18" x14ac:dyDescent="0.3">
      <c r="A31" s="5" t="s">
        <v>9</v>
      </c>
      <c r="B31" s="6"/>
      <c r="C31" s="6"/>
      <c r="D31" s="7" t="s">
        <v>48</v>
      </c>
      <c r="H31" s="111" t="str">
        <f t="shared" si="0"/>
        <v/>
      </c>
      <c r="I31" s="111" t="str">
        <f t="shared" si="1"/>
        <v/>
      </c>
      <c r="J31" s="111"/>
      <c r="K31" s="112">
        <f>SUM(J32:J38)</f>
        <v>2273.3693320555312</v>
      </c>
      <c r="L31" s="110" t="str">
        <f t="shared" si="2"/>
        <v/>
      </c>
    </row>
    <row r="32" spans="1:18" x14ac:dyDescent="0.3">
      <c r="A32" s="5"/>
      <c r="B32" s="6" t="s">
        <v>7</v>
      </c>
      <c r="C32" s="6"/>
      <c r="D32" s="1" t="s">
        <v>49</v>
      </c>
      <c r="E32" t="s">
        <v>108</v>
      </c>
      <c r="F32">
        <v>10</v>
      </c>
      <c r="G32" t="s">
        <v>103</v>
      </c>
      <c r="H32" s="111">
        <f t="shared" si="0"/>
        <v>49.154057104913683</v>
      </c>
      <c r="I32" s="111">
        <f t="shared" si="1"/>
        <v>491.54057104913682</v>
      </c>
      <c r="J32" s="111">
        <f t="shared" ref="J32:J38" si="4">I32</f>
        <v>491.54057104913682</v>
      </c>
      <c r="K32" s="112"/>
      <c r="L32" s="110">
        <f t="shared" si="2"/>
        <v>607.34057104913677</v>
      </c>
    </row>
    <row r="33" spans="1:12" x14ac:dyDescent="0.3">
      <c r="A33" s="5"/>
      <c r="B33" s="6" t="s">
        <v>13</v>
      </c>
      <c r="C33" s="6"/>
      <c r="D33" s="1" t="s">
        <v>50</v>
      </c>
      <c r="E33" t="s">
        <v>110</v>
      </c>
      <c r="F33">
        <v>3</v>
      </c>
      <c r="G33" t="s">
        <v>103</v>
      </c>
      <c r="H33" s="111">
        <f t="shared" si="0"/>
        <v>38.551814171883898</v>
      </c>
      <c r="I33" s="111">
        <f t="shared" si="1"/>
        <v>115.65544251565169</v>
      </c>
      <c r="J33" s="111">
        <f t="shared" si="4"/>
        <v>115.65544251565169</v>
      </c>
      <c r="K33" s="112"/>
      <c r="L33" s="110">
        <f t="shared" si="2"/>
        <v>150.39544251565169</v>
      </c>
    </row>
    <row r="34" spans="1:12" x14ac:dyDescent="0.3">
      <c r="A34" s="5"/>
      <c r="B34" s="6" t="s">
        <v>14</v>
      </c>
      <c r="C34" s="6"/>
      <c r="D34" s="1" t="s">
        <v>51</v>
      </c>
      <c r="E34" t="s">
        <v>109</v>
      </c>
      <c r="F34">
        <v>8</v>
      </c>
      <c r="G34" t="s">
        <v>103</v>
      </c>
      <c r="H34" s="111">
        <f t="shared" si="0"/>
        <v>43.846666276072185</v>
      </c>
      <c r="I34" s="111">
        <f t="shared" si="1"/>
        <v>350.77333020857748</v>
      </c>
      <c r="J34" s="111">
        <f t="shared" si="4"/>
        <v>350.77333020857748</v>
      </c>
      <c r="K34" s="112"/>
      <c r="L34" s="110">
        <f t="shared" si="2"/>
        <v>443.41333020857746</v>
      </c>
    </row>
    <row r="35" spans="1:12" x14ac:dyDescent="0.3">
      <c r="A35" s="5"/>
      <c r="B35" s="6" t="s">
        <v>94</v>
      </c>
      <c r="C35" s="6"/>
      <c r="D35" s="1" t="s">
        <v>52</v>
      </c>
      <c r="E35" t="s">
        <v>109</v>
      </c>
      <c r="F35">
        <v>4</v>
      </c>
      <c r="G35" t="s">
        <v>103</v>
      </c>
      <c r="H35" s="111">
        <f t="shared" ref="H35:H66" si="5">_xlfn.XLOOKUP(E35,$Q$20:$Q$25,$R$20:$R$25,"")</f>
        <v>43.846666276072185</v>
      </c>
      <c r="I35" s="111">
        <f t="shared" si="1"/>
        <v>175.38666510428874</v>
      </c>
      <c r="J35" s="111">
        <f t="shared" si="4"/>
        <v>175.38666510428874</v>
      </c>
      <c r="K35" s="112"/>
      <c r="L35" s="110">
        <f t="shared" si="2"/>
        <v>221.70666510428873</v>
      </c>
    </row>
    <row r="36" spans="1:12" x14ac:dyDescent="0.3">
      <c r="A36" s="5"/>
      <c r="B36" s="6" t="s">
        <v>95</v>
      </c>
      <c r="C36" s="6"/>
      <c r="D36" s="1" t="s">
        <v>53</v>
      </c>
      <c r="E36" t="s">
        <v>109</v>
      </c>
      <c r="F36">
        <v>6</v>
      </c>
      <c r="G36" t="s">
        <v>103</v>
      </c>
      <c r="H36" s="111">
        <f t="shared" si="5"/>
        <v>43.846666276072185</v>
      </c>
      <c r="I36" s="111">
        <f t="shared" si="1"/>
        <v>263.07999765643308</v>
      </c>
      <c r="J36" s="111">
        <f t="shared" si="4"/>
        <v>263.07999765643308</v>
      </c>
      <c r="K36" s="112"/>
      <c r="L36" s="110">
        <f t="shared" si="2"/>
        <v>332.5599976564331</v>
      </c>
    </row>
    <row r="37" spans="1:12" x14ac:dyDescent="0.3">
      <c r="A37" s="5"/>
      <c r="B37" s="6" t="s">
        <v>96</v>
      </c>
      <c r="C37" s="6"/>
      <c r="D37" s="1" t="s">
        <v>54</v>
      </c>
      <c r="E37" t="s">
        <v>109</v>
      </c>
      <c r="F37">
        <v>10</v>
      </c>
      <c r="G37" t="s">
        <v>103</v>
      </c>
      <c r="H37" s="111">
        <f t="shared" si="5"/>
        <v>43.846666276072185</v>
      </c>
      <c r="I37" s="111">
        <f t="shared" si="1"/>
        <v>438.46666276072187</v>
      </c>
      <c r="J37" s="111">
        <f t="shared" si="4"/>
        <v>438.46666276072187</v>
      </c>
      <c r="K37" s="112"/>
      <c r="L37" s="110">
        <f t="shared" si="2"/>
        <v>554.26666276072183</v>
      </c>
    </row>
    <row r="38" spans="1:12" x14ac:dyDescent="0.3">
      <c r="A38" s="5"/>
      <c r="B38" s="6" t="s">
        <v>97</v>
      </c>
      <c r="C38" s="6"/>
      <c r="D38" s="1" t="s">
        <v>194</v>
      </c>
      <c r="E38" t="s">
        <v>109</v>
      </c>
      <c r="F38">
        <v>10</v>
      </c>
      <c r="G38" t="s">
        <v>103</v>
      </c>
      <c r="H38" s="111">
        <f t="shared" si="5"/>
        <v>43.846666276072185</v>
      </c>
      <c r="I38" s="111">
        <f t="shared" si="1"/>
        <v>438.46666276072187</v>
      </c>
      <c r="J38" s="111">
        <f t="shared" si="4"/>
        <v>438.46666276072187</v>
      </c>
      <c r="K38" s="112"/>
      <c r="L38" s="110">
        <f t="shared" si="2"/>
        <v>554.26666276072183</v>
      </c>
    </row>
    <row r="39" spans="1:12" x14ac:dyDescent="0.3">
      <c r="A39" s="5" t="s">
        <v>10</v>
      </c>
      <c r="B39" s="6"/>
      <c r="C39" s="6"/>
      <c r="D39" s="7" t="s">
        <v>55</v>
      </c>
      <c r="E39" t="s">
        <v>109</v>
      </c>
      <c r="F39">
        <v>3</v>
      </c>
      <c r="G39" t="s">
        <v>103</v>
      </c>
      <c r="H39" s="111">
        <f t="shared" si="5"/>
        <v>43.846666276072185</v>
      </c>
      <c r="I39" s="111">
        <f t="shared" si="1"/>
        <v>131.53999882821654</v>
      </c>
      <c r="J39" s="111">
        <f>SUM(I39)</f>
        <v>131.53999882821654</v>
      </c>
      <c r="K39" s="111">
        <f>SUM(J39)</f>
        <v>131.53999882821654</v>
      </c>
      <c r="L39" s="110">
        <f t="shared" si="2"/>
        <v>166.27999882821655</v>
      </c>
    </row>
    <row r="40" spans="1:12" x14ac:dyDescent="0.3">
      <c r="A40" s="5" t="s">
        <v>11</v>
      </c>
      <c r="B40" s="6"/>
      <c r="C40" s="6"/>
      <c r="D40" s="7" t="s">
        <v>56</v>
      </c>
      <c r="H40" s="111" t="str">
        <f t="shared" si="5"/>
        <v/>
      </c>
      <c r="I40" s="111" t="str">
        <f t="shared" si="1"/>
        <v/>
      </c>
      <c r="J40" s="111"/>
      <c r="K40" s="112">
        <f>SUM(J41:J50)</f>
        <v>4386.8987937884322</v>
      </c>
      <c r="L40" s="110" t="str">
        <f t="shared" si="2"/>
        <v/>
      </c>
    </row>
    <row r="41" spans="1:12" x14ac:dyDescent="0.3">
      <c r="A41" s="5"/>
      <c r="B41" s="6" t="s">
        <v>7</v>
      </c>
      <c r="C41" s="6"/>
      <c r="D41" s="1" t="s">
        <v>57</v>
      </c>
      <c r="E41" t="s">
        <v>108</v>
      </c>
      <c r="F41">
        <v>4</v>
      </c>
      <c r="G41" t="s">
        <v>103</v>
      </c>
      <c r="H41" s="111">
        <f t="shared" si="5"/>
        <v>49.154057104913683</v>
      </c>
      <c r="I41" s="111">
        <f t="shared" si="1"/>
        <v>196.61622841965473</v>
      </c>
      <c r="J41" s="111">
        <f>I41</f>
        <v>196.61622841965473</v>
      </c>
      <c r="K41" s="112"/>
      <c r="L41" s="110">
        <f t="shared" si="2"/>
        <v>242.93622841965473</v>
      </c>
    </row>
    <row r="42" spans="1:12" x14ac:dyDescent="0.3">
      <c r="A42" s="5"/>
      <c r="B42" s="6" t="s">
        <v>13</v>
      </c>
      <c r="C42" s="6"/>
      <c r="D42" s="1" t="s">
        <v>58</v>
      </c>
      <c r="E42" t="s">
        <v>108</v>
      </c>
      <c r="F42">
        <v>3</v>
      </c>
      <c r="G42" t="s">
        <v>103</v>
      </c>
      <c r="H42" s="111">
        <f t="shared" si="5"/>
        <v>49.154057104913683</v>
      </c>
      <c r="I42" s="111">
        <f t="shared" si="1"/>
        <v>147.46217131474106</v>
      </c>
      <c r="J42" s="111">
        <f>I42</f>
        <v>147.46217131474106</v>
      </c>
      <c r="K42" s="112"/>
      <c r="L42" s="110">
        <f t="shared" si="2"/>
        <v>182.20217131474107</v>
      </c>
    </row>
    <row r="43" spans="1:12" x14ac:dyDescent="0.3">
      <c r="A43" s="5"/>
      <c r="B43" s="6" t="s">
        <v>14</v>
      </c>
      <c r="C43" s="6"/>
      <c r="D43" s="1" t="s">
        <v>59</v>
      </c>
      <c r="H43" s="111" t="str">
        <f t="shared" si="5"/>
        <v/>
      </c>
      <c r="I43" s="111" t="str">
        <f t="shared" si="1"/>
        <v/>
      </c>
      <c r="J43" s="111">
        <f>SUM(I44:I50)</f>
        <v>4042.8203940540366</v>
      </c>
      <c r="K43" s="112"/>
      <c r="L43" s="110" t="str">
        <f t="shared" si="2"/>
        <v/>
      </c>
    </row>
    <row r="44" spans="1:12" x14ac:dyDescent="0.3">
      <c r="A44" s="5"/>
      <c r="B44" s="6"/>
      <c r="C44" s="6" t="s">
        <v>6</v>
      </c>
      <c r="D44" s="1" t="s">
        <v>60</v>
      </c>
      <c r="E44" t="s">
        <v>110</v>
      </c>
      <c r="F44">
        <v>22</v>
      </c>
      <c r="G44" t="s">
        <v>103</v>
      </c>
      <c r="H44" s="111">
        <f t="shared" si="5"/>
        <v>38.551814171883898</v>
      </c>
      <c r="I44" s="111">
        <f t="shared" si="1"/>
        <v>848.13991178144579</v>
      </c>
      <c r="J44" s="111"/>
      <c r="K44" s="112"/>
      <c r="L44" s="110">
        <f t="shared" si="2"/>
        <v>1102.8999117814458</v>
      </c>
    </row>
    <row r="45" spans="1:12" ht="28.8" x14ac:dyDescent="0.3">
      <c r="A45" s="5"/>
      <c r="B45" s="6"/>
      <c r="C45" s="6" t="s">
        <v>8</v>
      </c>
      <c r="D45" s="1" t="s">
        <v>61</v>
      </c>
      <c r="E45" t="s">
        <v>110</v>
      </c>
      <c r="F45">
        <v>10</v>
      </c>
      <c r="G45" t="s">
        <v>103</v>
      </c>
      <c r="H45" s="111">
        <f t="shared" si="5"/>
        <v>38.551814171883898</v>
      </c>
      <c r="I45" s="111">
        <f t="shared" si="1"/>
        <v>385.51814171883899</v>
      </c>
      <c r="J45" s="111"/>
      <c r="K45" s="112"/>
      <c r="L45" s="110">
        <f t="shared" si="2"/>
        <v>501.318141718839</v>
      </c>
    </row>
    <row r="46" spans="1:12" ht="28.8" x14ac:dyDescent="0.3">
      <c r="A46" s="5"/>
      <c r="B46" s="6"/>
      <c r="C46" s="6" t="s">
        <v>9</v>
      </c>
      <c r="D46" s="1" t="s">
        <v>62</v>
      </c>
      <c r="E46" t="s">
        <v>109</v>
      </c>
      <c r="F46">
        <v>25</v>
      </c>
      <c r="G46" t="s">
        <v>103</v>
      </c>
      <c r="H46" s="111">
        <f t="shared" si="5"/>
        <v>43.846666276072185</v>
      </c>
      <c r="I46" s="111">
        <f t="shared" si="1"/>
        <v>1096.1666569018046</v>
      </c>
      <c r="J46" s="111"/>
      <c r="K46" s="112"/>
      <c r="L46" s="110">
        <f t="shared" si="2"/>
        <v>1385.6666569018046</v>
      </c>
    </row>
    <row r="47" spans="1:12" x14ac:dyDescent="0.3">
      <c r="A47" s="5"/>
      <c r="B47" s="6"/>
      <c r="C47" s="6" t="s">
        <v>10</v>
      </c>
      <c r="D47" s="1" t="s">
        <v>63</v>
      </c>
      <c r="E47" t="s">
        <v>110</v>
      </c>
      <c r="F47">
        <v>6</v>
      </c>
      <c r="G47" t="s">
        <v>103</v>
      </c>
      <c r="H47" s="111">
        <f t="shared" si="5"/>
        <v>38.551814171883898</v>
      </c>
      <c r="I47" s="111">
        <f t="shared" si="1"/>
        <v>231.31088503130337</v>
      </c>
      <c r="J47" s="111"/>
      <c r="K47" s="112"/>
      <c r="L47" s="110">
        <f t="shared" si="2"/>
        <v>300.79088503130339</v>
      </c>
    </row>
    <row r="48" spans="1:12" x14ac:dyDescent="0.3">
      <c r="A48" s="5"/>
      <c r="B48" s="6"/>
      <c r="C48" s="6" t="s">
        <v>11</v>
      </c>
      <c r="D48" s="1" t="s">
        <v>195</v>
      </c>
      <c r="E48" t="s">
        <v>109</v>
      </c>
      <c r="F48">
        <v>15</v>
      </c>
      <c r="G48" t="s">
        <v>103</v>
      </c>
      <c r="H48" s="111">
        <f t="shared" si="5"/>
        <v>43.846666276072185</v>
      </c>
      <c r="I48" s="111">
        <f t="shared" si="1"/>
        <v>657.69999414108281</v>
      </c>
      <c r="J48" s="111"/>
      <c r="K48" s="112"/>
      <c r="L48" s="110">
        <f t="shared" si="2"/>
        <v>831.39999414108274</v>
      </c>
    </row>
    <row r="49" spans="1:12" x14ac:dyDescent="0.3">
      <c r="A49" s="5"/>
      <c r="B49" s="6"/>
      <c r="C49" s="6" t="s">
        <v>12</v>
      </c>
      <c r="D49" s="1" t="s">
        <v>64</v>
      </c>
      <c r="E49" t="s">
        <v>109</v>
      </c>
      <c r="F49">
        <v>10</v>
      </c>
      <c r="G49" t="s">
        <v>103</v>
      </c>
      <c r="H49" s="111">
        <f t="shared" si="5"/>
        <v>43.846666276072185</v>
      </c>
      <c r="I49" s="111">
        <f t="shared" si="1"/>
        <v>438.46666276072187</v>
      </c>
      <c r="J49" s="111"/>
      <c r="K49" s="112"/>
      <c r="L49" s="110">
        <f t="shared" si="2"/>
        <v>554.26666276072183</v>
      </c>
    </row>
    <row r="50" spans="1:12" x14ac:dyDescent="0.3">
      <c r="A50" s="5"/>
      <c r="B50" s="6"/>
      <c r="C50" s="6" t="s">
        <v>87</v>
      </c>
      <c r="D50" s="1" t="s">
        <v>65</v>
      </c>
      <c r="E50" t="s">
        <v>110</v>
      </c>
      <c r="F50">
        <v>10</v>
      </c>
      <c r="G50" t="s">
        <v>103</v>
      </c>
      <c r="H50" s="111">
        <f t="shared" si="5"/>
        <v>38.551814171883898</v>
      </c>
      <c r="I50" s="111">
        <f t="shared" si="1"/>
        <v>385.51814171883899</v>
      </c>
      <c r="J50" s="111"/>
      <c r="K50" s="112"/>
      <c r="L50" s="110">
        <f t="shared" si="2"/>
        <v>501.318141718839</v>
      </c>
    </row>
    <row r="51" spans="1:12" x14ac:dyDescent="0.3">
      <c r="A51" s="5" t="s">
        <v>12</v>
      </c>
      <c r="B51" s="6"/>
      <c r="C51" s="6"/>
      <c r="D51" s="7" t="s">
        <v>66</v>
      </c>
      <c r="H51" s="111" t="str">
        <f t="shared" si="5"/>
        <v/>
      </c>
      <c r="I51" s="111" t="str">
        <f t="shared" si="1"/>
        <v/>
      </c>
      <c r="J51" s="111"/>
      <c r="K51" s="112">
        <f>SUM(J52:J60)</f>
        <v>1051.4886868492417</v>
      </c>
      <c r="L51" s="110" t="str">
        <f t="shared" si="2"/>
        <v/>
      </c>
    </row>
    <row r="52" spans="1:12" x14ac:dyDescent="0.3">
      <c r="A52" s="5"/>
      <c r="B52" s="6" t="s">
        <v>7</v>
      </c>
      <c r="C52" s="6"/>
      <c r="D52" s="1" t="s">
        <v>67</v>
      </c>
      <c r="E52" t="s">
        <v>110</v>
      </c>
      <c r="F52">
        <v>4</v>
      </c>
      <c r="G52" t="s">
        <v>103</v>
      </c>
      <c r="H52" s="111">
        <f t="shared" si="5"/>
        <v>38.551814171883898</v>
      </c>
      <c r="I52" s="111">
        <f t="shared" si="1"/>
        <v>154.20725668753559</v>
      </c>
      <c r="J52" s="111">
        <f t="shared" ref="J52:J60" si="6">I52</f>
        <v>154.20725668753559</v>
      </c>
      <c r="K52" s="112"/>
      <c r="L52" s="110">
        <f t="shared" si="2"/>
        <v>200.52725668753558</v>
      </c>
    </row>
    <row r="53" spans="1:12" x14ac:dyDescent="0.3">
      <c r="A53" s="5"/>
      <c r="B53" s="6" t="s">
        <v>13</v>
      </c>
      <c r="C53" s="6"/>
      <c r="D53" s="1" t="s">
        <v>68</v>
      </c>
      <c r="E53" t="s">
        <v>110</v>
      </c>
      <c r="F53">
        <v>3</v>
      </c>
      <c r="G53" t="s">
        <v>103</v>
      </c>
      <c r="H53" s="111">
        <f t="shared" si="5"/>
        <v>38.551814171883898</v>
      </c>
      <c r="I53" s="111">
        <f t="shared" si="1"/>
        <v>115.65544251565169</v>
      </c>
      <c r="J53" s="111">
        <f t="shared" si="6"/>
        <v>115.65544251565169</v>
      </c>
      <c r="K53" s="112"/>
      <c r="L53" s="110">
        <f t="shared" si="2"/>
        <v>150.39544251565169</v>
      </c>
    </row>
    <row r="54" spans="1:12" x14ac:dyDescent="0.3">
      <c r="A54" s="5"/>
      <c r="B54" s="6" t="s">
        <v>14</v>
      </c>
      <c r="C54" s="6"/>
      <c r="D54" s="1" t="s">
        <v>69</v>
      </c>
      <c r="E54" t="s">
        <v>110</v>
      </c>
      <c r="F54">
        <v>5</v>
      </c>
      <c r="G54" t="s">
        <v>103</v>
      </c>
      <c r="H54" s="111">
        <f t="shared" si="5"/>
        <v>38.551814171883898</v>
      </c>
      <c r="I54" s="111">
        <f t="shared" si="1"/>
        <v>192.7590708594195</v>
      </c>
      <c r="J54" s="111">
        <f t="shared" si="6"/>
        <v>192.7590708594195</v>
      </c>
      <c r="K54" s="112"/>
      <c r="L54" s="110">
        <f t="shared" si="2"/>
        <v>250.6590708594195</v>
      </c>
    </row>
    <row r="55" spans="1:12" x14ac:dyDescent="0.3">
      <c r="A55" s="5"/>
      <c r="B55" s="6" t="s">
        <v>94</v>
      </c>
      <c r="C55" s="6"/>
      <c r="D55" s="1" t="s">
        <v>70</v>
      </c>
      <c r="E55" t="s">
        <v>110</v>
      </c>
      <c r="F55">
        <v>3</v>
      </c>
      <c r="G55" t="s">
        <v>103</v>
      </c>
      <c r="H55" s="111">
        <f t="shared" si="5"/>
        <v>38.551814171883898</v>
      </c>
      <c r="I55" s="111">
        <f t="shared" si="1"/>
        <v>115.65544251565169</v>
      </c>
      <c r="J55" s="111">
        <f t="shared" si="6"/>
        <v>115.65544251565169</v>
      </c>
      <c r="K55" s="112"/>
      <c r="L55" s="110">
        <f t="shared" si="2"/>
        <v>150.39544251565169</v>
      </c>
    </row>
    <row r="56" spans="1:12" x14ac:dyDescent="0.3">
      <c r="A56" s="5"/>
      <c r="B56" s="6" t="s">
        <v>95</v>
      </c>
      <c r="C56" s="6"/>
      <c r="D56" s="1" t="s">
        <v>196</v>
      </c>
      <c r="E56" t="s">
        <v>110</v>
      </c>
      <c r="F56">
        <v>3</v>
      </c>
      <c r="G56" t="s">
        <v>103</v>
      </c>
      <c r="H56" s="111">
        <f t="shared" si="5"/>
        <v>38.551814171883898</v>
      </c>
      <c r="I56" s="111">
        <f t="shared" si="1"/>
        <v>115.65544251565169</v>
      </c>
      <c r="J56" s="111">
        <f t="shared" si="6"/>
        <v>115.65544251565169</v>
      </c>
      <c r="K56" s="112"/>
      <c r="L56" s="110">
        <f t="shared" si="2"/>
        <v>150.39544251565169</v>
      </c>
    </row>
    <row r="57" spans="1:12" x14ac:dyDescent="0.3">
      <c r="A57" s="5"/>
      <c r="B57" s="6" t="s">
        <v>96</v>
      </c>
      <c r="C57" s="6"/>
      <c r="D57" s="1" t="s">
        <v>71</v>
      </c>
      <c r="E57" t="s">
        <v>110</v>
      </c>
      <c r="F57">
        <v>2</v>
      </c>
      <c r="G57" t="s">
        <v>103</v>
      </c>
      <c r="H57" s="111">
        <f t="shared" si="5"/>
        <v>38.551814171883898</v>
      </c>
      <c r="I57" s="111">
        <f t="shared" si="1"/>
        <v>77.103628343767795</v>
      </c>
      <c r="J57" s="111">
        <f t="shared" si="6"/>
        <v>77.103628343767795</v>
      </c>
      <c r="K57" s="112"/>
      <c r="L57" s="110">
        <f t="shared" si="2"/>
        <v>100.26362834376779</v>
      </c>
    </row>
    <row r="58" spans="1:12" x14ac:dyDescent="0.3">
      <c r="A58" s="5"/>
      <c r="B58" s="6" t="s">
        <v>97</v>
      </c>
      <c r="C58" s="6"/>
      <c r="D58" s="1" t="s">
        <v>72</v>
      </c>
      <c r="E58" t="s">
        <v>110</v>
      </c>
      <c r="F58">
        <v>3</v>
      </c>
      <c r="G58" t="s">
        <v>103</v>
      </c>
      <c r="H58" s="111">
        <f t="shared" si="5"/>
        <v>38.551814171883898</v>
      </c>
      <c r="I58" s="111">
        <f t="shared" si="1"/>
        <v>115.65544251565169</v>
      </c>
      <c r="J58" s="111">
        <f t="shared" si="6"/>
        <v>115.65544251565169</v>
      </c>
      <c r="K58" s="112"/>
      <c r="L58" s="110">
        <f t="shared" si="2"/>
        <v>150.39544251565169</v>
      </c>
    </row>
    <row r="59" spans="1:12" x14ac:dyDescent="0.3">
      <c r="A59" s="5"/>
      <c r="B59" s="6" t="s">
        <v>98</v>
      </c>
      <c r="C59" s="6"/>
      <c r="D59" s="1" t="s">
        <v>193</v>
      </c>
      <c r="E59" t="s">
        <v>110</v>
      </c>
      <c r="F59">
        <v>2</v>
      </c>
      <c r="G59" t="s">
        <v>103</v>
      </c>
      <c r="H59" s="111">
        <f t="shared" si="5"/>
        <v>38.551814171883898</v>
      </c>
      <c r="I59" s="111">
        <f t="shared" si="1"/>
        <v>77.103628343767795</v>
      </c>
      <c r="J59" s="111">
        <f t="shared" si="6"/>
        <v>77.103628343767795</v>
      </c>
      <c r="K59" s="112"/>
      <c r="L59" s="110">
        <f t="shared" si="2"/>
        <v>100.26362834376779</v>
      </c>
    </row>
    <row r="60" spans="1:12" x14ac:dyDescent="0.3">
      <c r="A60" s="5"/>
      <c r="B60" s="6" t="s">
        <v>99</v>
      </c>
      <c r="C60" s="6"/>
      <c r="D60" s="1" t="s">
        <v>73</v>
      </c>
      <c r="E60" t="s">
        <v>109</v>
      </c>
      <c r="F60">
        <v>2</v>
      </c>
      <c r="G60" t="s">
        <v>103</v>
      </c>
      <c r="H60" s="111">
        <f t="shared" si="5"/>
        <v>43.846666276072185</v>
      </c>
      <c r="I60" s="111">
        <f t="shared" si="1"/>
        <v>87.693332552144369</v>
      </c>
      <c r="J60" s="111">
        <f t="shared" si="6"/>
        <v>87.693332552144369</v>
      </c>
      <c r="K60" s="112"/>
      <c r="L60" s="110">
        <f t="shared" si="2"/>
        <v>110.85333255214437</v>
      </c>
    </row>
    <row r="61" spans="1:12" x14ac:dyDescent="0.3">
      <c r="A61" s="5" t="s">
        <v>87</v>
      </c>
      <c r="B61" s="6"/>
      <c r="C61" s="6"/>
      <c r="D61" s="7" t="s">
        <v>74</v>
      </c>
      <c r="H61" s="111" t="str">
        <f t="shared" si="5"/>
        <v/>
      </c>
      <c r="I61" s="111" t="str">
        <f t="shared" si="1"/>
        <v/>
      </c>
      <c r="J61" s="111"/>
      <c r="K61" s="112">
        <f>SUM(J62:J73)</f>
        <v>1382.5443437881208</v>
      </c>
      <c r="L61" s="110" t="str">
        <f t="shared" si="2"/>
        <v/>
      </c>
    </row>
    <row r="62" spans="1:12" ht="28.8" x14ac:dyDescent="0.3">
      <c r="A62" s="5"/>
      <c r="B62" s="6" t="s">
        <v>7</v>
      </c>
      <c r="C62" s="6"/>
      <c r="D62" s="1" t="s">
        <v>75</v>
      </c>
      <c r="E62" t="s">
        <v>104</v>
      </c>
      <c r="F62">
        <v>1</v>
      </c>
      <c r="G62" t="s">
        <v>103</v>
      </c>
      <c r="H62" s="111">
        <f t="shared" si="5"/>
        <v>49.782125344774748</v>
      </c>
      <c r="I62" s="111">
        <f t="shared" si="1"/>
        <v>49.782125344774748</v>
      </c>
      <c r="J62" s="111">
        <f t="shared" ref="J62:J73" si="7">I62</f>
        <v>49.782125344774748</v>
      </c>
      <c r="K62" s="112"/>
      <c r="L62" s="110">
        <f t="shared" si="2"/>
        <v>61.362125344774746</v>
      </c>
    </row>
    <row r="63" spans="1:12" x14ac:dyDescent="0.3">
      <c r="A63" s="5"/>
      <c r="B63" s="6" t="s">
        <v>13</v>
      </c>
      <c r="C63" s="6"/>
      <c r="D63" s="1" t="s">
        <v>76</v>
      </c>
      <c r="E63" t="s">
        <v>104</v>
      </c>
      <c r="F63">
        <v>1</v>
      </c>
      <c r="G63" t="s">
        <v>103</v>
      </c>
      <c r="H63" s="111">
        <f t="shared" si="5"/>
        <v>49.782125344774748</v>
      </c>
      <c r="I63" s="111">
        <f t="shared" si="1"/>
        <v>49.782125344774748</v>
      </c>
      <c r="J63" s="111">
        <f t="shared" si="7"/>
        <v>49.782125344774748</v>
      </c>
      <c r="K63" s="112"/>
      <c r="L63" s="110">
        <f t="shared" si="2"/>
        <v>61.362125344774746</v>
      </c>
    </row>
    <row r="64" spans="1:12" x14ac:dyDescent="0.3">
      <c r="A64" s="5"/>
      <c r="B64" s="6" t="s">
        <v>14</v>
      </c>
      <c r="C64" s="6"/>
      <c r="D64" s="1" t="s">
        <v>77</v>
      </c>
      <c r="E64" t="s">
        <v>107</v>
      </c>
      <c r="F64">
        <v>1</v>
      </c>
      <c r="G64" t="s">
        <v>103</v>
      </c>
      <c r="H64" s="111">
        <f t="shared" si="5"/>
        <v>45.220459339114129</v>
      </c>
      <c r="I64" s="111">
        <f t="shared" si="1"/>
        <v>45.220459339114129</v>
      </c>
      <c r="J64" s="111">
        <f t="shared" si="7"/>
        <v>45.220459339114129</v>
      </c>
      <c r="K64" s="112"/>
      <c r="L64" s="110">
        <f t="shared" si="2"/>
        <v>56.800459339114127</v>
      </c>
    </row>
    <row r="65" spans="1:12" ht="28.8" x14ac:dyDescent="0.3">
      <c r="A65" s="5"/>
      <c r="B65" s="6" t="s">
        <v>94</v>
      </c>
      <c r="C65" s="6"/>
      <c r="D65" s="1" t="s">
        <v>78</v>
      </c>
      <c r="E65" t="s">
        <v>107</v>
      </c>
      <c r="F65">
        <v>2</v>
      </c>
      <c r="G65" t="s">
        <v>103</v>
      </c>
      <c r="H65" s="111">
        <f t="shared" si="5"/>
        <v>45.220459339114129</v>
      </c>
      <c r="I65" s="111">
        <f t="shared" si="1"/>
        <v>90.440918678228257</v>
      </c>
      <c r="J65" s="111">
        <f t="shared" si="7"/>
        <v>90.440918678228257</v>
      </c>
      <c r="K65" s="112"/>
      <c r="L65" s="110">
        <f t="shared" si="2"/>
        <v>113.60091867822825</v>
      </c>
    </row>
    <row r="66" spans="1:12" ht="28.8" x14ac:dyDescent="0.3">
      <c r="A66" s="5"/>
      <c r="B66" s="6" t="s">
        <v>95</v>
      </c>
      <c r="C66" s="6"/>
      <c r="D66" s="1" t="s">
        <v>79</v>
      </c>
      <c r="E66" t="s">
        <v>104</v>
      </c>
      <c r="F66">
        <v>2</v>
      </c>
      <c r="G66" t="s">
        <v>103</v>
      </c>
      <c r="H66" s="111">
        <f t="shared" si="5"/>
        <v>49.782125344774748</v>
      </c>
      <c r="I66" s="111">
        <f t="shared" si="1"/>
        <v>99.564250689549496</v>
      </c>
      <c r="J66" s="111">
        <f t="shared" si="7"/>
        <v>99.564250689549496</v>
      </c>
      <c r="K66" s="112"/>
      <c r="L66" s="110">
        <f t="shared" si="2"/>
        <v>122.72425068954949</v>
      </c>
    </row>
    <row r="67" spans="1:12" x14ac:dyDescent="0.3">
      <c r="A67" s="5"/>
      <c r="B67" s="6" t="s">
        <v>96</v>
      </c>
      <c r="C67" s="6"/>
      <c r="D67" s="1" t="s">
        <v>80</v>
      </c>
      <c r="E67" t="s">
        <v>106</v>
      </c>
      <c r="F67">
        <v>3</v>
      </c>
      <c r="G67" t="s">
        <v>103</v>
      </c>
      <c r="H67" s="111">
        <f t="shared" ref="H67:H73" si="8">_xlfn.XLOOKUP(E67,$Q$20:$Q$25,$R$20:$R$25,"")</f>
        <v>42.159269173306768</v>
      </c>
      <c r="I67" s="111">
        <f t="shared" si="1"/>
        <v>126.4778075199203</v>
      </c>
      <c r="J67" s="111">
        <f t="shared" si="7"/>
        <v>126.4778075199203</v>
      </c>
      <c r="K67" s="112"/>
      <c r="L67" s="110">
        <f t="shared" si="2"/>
        <v>161.21780751992031</v>
      </c>
    </row>
    <row r="68" spans="1:12" x14ac:dyDescent="0.3">
      <c r="A68" s="5"/>
      <c r="B68" s="6" t="s">
        <v>97</v>
      </c>
      <c r="C68" s="6"/>
      <c r="D68" s="1" t="s">
        <v>81</v>
      </c>
      <c r="E68" t="s">
        <v>108</v>
      </c>
      <c r="F68">
        <v>5</v>
      </c>
      <c r="G68" t="s">
        <v>103</v>
      </c>
      <c r="H68" s="111">
        <f t="shared" si="8"/>
        <v>49.154057104913683</v>
      </c>
      <c r="I68" s="111">
        <f t="shared" ref="I68:I73" si="9">IFERROR(H68*F68,"")</f>
        <v>245.77028552456841</v>
      </c>
      <c r="J68" s="111">
        <f t="shared" si="7"/>
        <v>245.77028552456841</v>
      </c>
      <c r="K68" s="112"/>
      <c r="L68" s="110">
        <f t="shared" ref="L68:L73" si="10">IFERROR(I68+($P$10*F68),"")</f>
        <v>303.67028552456838</v>
      </c>
    </row>
    <row r="69" spans="1:12" x14ac:dyDescent="0.3">
      <c r="A69" s="5"/>
      <c r="B69" s="6" t="s">
        <v>98</v>
      </c>
      <c r="C69" s="6"/>
      <c r="D69" s="1" t="s">
        <v>82</v>
      </c>
      <c r="E69" t="s">
        <v>109</v>
      </c>
      <c r="F69">
        <v>5</v>
      </c>
      <c r="G69" t="s">
        <v>103</v>
      </c>
      <c r="H69" s="111">
        <f t="shared" si="8"/>
        <v>43.846666276072185</v>
      </c>
      <c r="I69" s="111">
        <f t="shared" si="9"/>
        <v>219.23333138036094</v>
      </c>
      <c r="J69" s="111">
        <f t="shared" si="7"/>
        <v>219.23333138036094</v>
      </c>
      <c r="K69" s="112"/>
      <c r="L69" s="110">
        <f t="shared" si="10"/>
        <v>277.13333138036091</v>
      </c>
    </row>
    <row r="70" spans="1:12" x14ac:dyDescent="0.3">
      <c r="A70" s="5"/>
      <c r="B70" s="6" t="s">
        <v>99</v>
      </c>
      <c r="C70" s="6"/>
      <c r="D70" s="1" t="s">
        <v>83</v>
      </c>
      <c r="E70" t="s">
        <v>109</v>
      </c>
      <c r="F70">
        <v>2</v>
      </c>
      <c r="G70" t="s">
        <v>103</v>
      </c>
      <c r="H70" s="111">
        <f t="shared" si="8"/>
        <v>43.846666276072185</v>
      </c>
      <c r="I70" s="111">
        <f t="shared" si="9"/>
        <v>87.693332552144369</v>
      </c>
      <c r="J70" s="111">
        <f t="shared" si="7"/>
        <v>87.693332552144369</v>
      </c>
      <c r="K70" s="112"/>
      <c r="L70" s="110">
        <f t="shared" si="10"/>
        <v>110.85333255214437</v>
      </c>
    </row>
    <row r="71" spans="1:12" x14ac:dyDescent="0.3">
      <c r="A71" s="5"/>
      <c r="B71" s="6" t="s">
        <v>100</v>
      </c>
      <c r="C71" s="6"/>
      <c r="D71" s="1" t="s">
        <v>84</v>
      </c>
      <c r="E71" t="s">
        <v>109</v>
      </c>
      <c r="F71">
        <v>5</v>
      </c>
      <c r="G71" t="s">
        <v>103</v>
      </c>
      <c r="H71" s="111">
        <f t="shared" si="8"/>
        <v>43.846666276072185</v>
      </c>
      <c r="I71" s="111">
        <f t="shared" si="9"/>
        <v>219.23333138036094</v>
      </c>
      <c r="J71" s="111">
        <f t="shared" si="7"/>
        <v>219.23333138036094</v>
      </c>
      <c r="K71" s="112"/>
      <c r="L71" s="110">
        <f t="shared" si="10"/>
        <v>277.13333138036091</v>
      </c>
    </row>
    <row r="72" spans="1:12" x14ac:dyDescent="0.3">
      <c r="A72" s="5"/>
      <c r="B72" s="6" t="s">
        <v>101</v>
      </c>
      <c r="C72" s="6"/>
      <c r="D72" s="1" t="s">
        <v>85</v>
      </c>
      <c r="E72" t="s">
        <v>104</v>
      </c>
      <c r="F72">
        <v>2</v>
      </c>
      <c r="G72" t="s">
        <v>103</v>
      </c>
      <c r="H72" s="111">
        <f t="shared" si="8"/>
        <v>49.782125344774748</v>
      </c>
      <c r="I72" s="111">
        <f t="shared" si="9"/>
        <v>99.564250689549496</v>
      </c>
      <c r="J72" s="111">
        <f t="shared" si="7"/>
        <v>99.564250689549496</v>
      </c>
      <c r="K72" s="112"/>
      <c r="L72" s="110">
        <f t="shared" si="10"/>
        <v>122.72425068954949</v>
      </c>
    </row>
    <row r="73" spans="1:12" x14ac:dyDescent="0.3">
      <c r="A73" s="8"/>
      <c r="B73" s="9" t="s">
        <v>102</v>
      </c>
      <c r="C73" s="9"/>
      <c r="D73" s="10" t="s">
        <v>86</v>
      </c>
      <c r="E73" s="11" t="s">
        <v>104</v>
      </c>
      <c r="F73" s="11">
        <v>1</v>
      </c>
      <c r="G73" s="11" t="s">
        <v>103</v>
      </c>
      <c r="H73" s="111">
        <f t="shared" si="8"/>
        <v>49.782125344774748</v>
      </c>
      <c r="I73" s="111">
        <f t="shared" si="9"/>
        <v>49.782125344774748</v>
      </c>
      <c r="J73" s="111">
        <f t="shared" si="7"/>
        <v>49.782125344774748</v>
      </c>
      <c r="K73" s="113"/>
      <c r="L73" s="110">
        <f t="shared" si="10"/>
        <v>61.362125344774746</v>
      </c>
    </row>
    <row r="74" spans="1:12" x14ac:dyDescent="0.3">
      <c r="A74" s="130" t="s">
        <v>4</v>
      </c>
      <c r="B74" s="131"/>
      <c r="C74" s="131"/>
      <c r="D74" s="131"/>
      <c r="E74" s="131"/>
      <c r="F74" s="131"/>
      <c r="G74" s="131"/>
      <c r="H74" s="131"/>
      <c r="I74" s="131"/>
      <c r="J74" s="131"/>
      <c r="K74" s="114">
        <f>SUM(K3:K73)</f>
        <v>13026.517352669423</v>
      </c>
      <c r="L74" s="111">
        <f>SUM(L3:L73)</f>
        <v>16500.51735266942</v>
      </c>
    </row>
    <row r="75" spans="1:12" x14ac:dyDescent="0.3">
      <c r="K75" s="2"/>
      <c r="L75" s="2"/>
    </row>
    <row r="76" spans="1:12" ht="15" thickBot="1" x14ac:dyDescent="0.35">
      <c r="A76" s="132" t="s">
        <v>192</v>
      </c>
      <c r="B76" s="133"/>
      <c r="C76" s="133"/>
      <c r="D76" s="133"/>
      <c r="E76" s="133"/>
      <c r="F76" s="133"/>
      <c r="G76" s="133"/>
      <c r="H76" s="133"/>
      <c r="I76" s="133"/>
      <c r="J76" s="133"/>
      <c r="K76" s="134"/>
      <c r="L76" s="124"/>
    </row>
    <row r="77" spans="1:12" x14ac:dyDescent="0.3">
      <c r="A77" s="12" t="s">
        <v>0</v>
      </c>
      <c r="B77" s="13" t="s">
        <v>1</v>
      </c>
      <c r="C77" s="13" t="s">
        <v>2</v>
      </c>
      <c r="D77" s="13" t="s">
        <v>15</v>
      </c>
      <c r="E77" s="13" t="s">
        <v>19</v>
      </c>
      <c r="F77" s="13" t="s">
        <v>16</v>
      </c>
      <c r="G77" s="13" t="s">
        <v>17</v>
      </c>
      <c r="H77" s="13" t="s">
        <v>18</v>
      </c>
      <c r="I77" s="13" t="s">
        <v>3</v>
      </c>
      <c r="J77" s="13" t="s">
        <v>5</v>
      </c>
      <c r="K77" s="14" t="s">
        <v>4</v>
      </c>
      <c r="L77" s="118"/>
    </row>
    <row r="78" spans="1:12" x14ac:dyDescent="0.3">
      <c r="A78" s="5" t="s">
        <v>6</v>
      </c>
      <c r="B78" s="6"/>
      <c r="C78" s="6"/>
      <c r="D78" t="s">
        <v>197</v>
      </c>
      <c r="H78" s="116"/>
      <c r="I78" s="116"/>
      <c r="J78" s="116">
        <f>SUM(I79:I80)</f>
        <v>172.5</v>
      </c>
      <c r="K78" s="117">
        <f>J78</f>
        <v>172.5</v>
      </c>
      <c r="L78" s="116"/>
    </row>
    <row r="79" spans="1:12" x14ac:dyDescent="0.3">
      <c r="A79" s="5"/>
      <c r="B79" s="6" t="s">
        <v>7</v>
      </c>
      <c r="C79" s="6"/>
      <c r="D79" t="s">
        <v>198</v>
      </c>
      <c r="E79" t="s">
        <v>200</v>
      </c>
      <c r="F79">
        <v>150</v>
      </c>
      <c r="G79" t="s">
        <v>201</v>
      </c>
      <c r="H79" s="116">
        <v>0.35</v>
      </c>
      <c r="I79" s="116">
        <f>H79*F79</f>
        <v>52.5</v>
      </c>
      <c r="J79" s="116"/>
      <c r="K79" s="117"/>
      <c r="L79" s="116"/>
    </row>
    <row r="80" spans="1:12" x14ac:dyDescent="0.3">
      <c r="A80" s="5"/>
      <c r="B80" s="6" t="s">
        <v>13</v>
      </c>
      <c r="C80" s="6"/>
      <c r="D80" t="s">
        <v>199</v>
      </c>
      <c r="E80" t="s">
        <v>200</v>
      </c>
      <c r="F80">
        <v>6</v>
      </c>
      <c r="G80" t="s">
        <v>202</v>
      </c>
      <c r="H80" s="116">
        <v>20</v>
      </c>
      <c r="I80" s="116">
        <f>H80*F80</f>
        <v>120</v>
      </c>
      <c r="J80" s="116"/>
      <c r="K80" s="117"/>
      <c r="L80" s="116"/>
    </row>
    <row r="81" spans="1:12" x14ac:dyDescent="0.3">
      <c r="A81" s="130" t="s">
        <v>4</v>
      </c>
      <c r="B81" s="131"/>
      <c r="C81" s="131"/>
      <c r="D81" s="131"/>
      <c r="E81" s="131"/>
      <c r="F81" s="131"/>
      <c r="G81" s="131"/>
      <c r="H81" s="131"/>
      <c r="I81" s="131"/>
      <c r="J81" s="131"/>
      <c r="K81" s="114">
        <f>SUM(K78:K80)</f>
        <v>172.5</v>
      </c>
      <c r="L81" s="111"/>
    </row>
    <row r="82" spans="1:12" x14ac:dyDescent="0.3">
      <c r="A82" s="6"/>
      <c r="B82" s="6"/>
      <c r="C82" s="6"/>
    </row>
  </sheetData>
  <mergeCells count="6">
    <mergeCell ref="A1:K1"/>
    <mergeCell ref="A74:J74"/>
    <mergeCell ref="A76:K76"/>
    <mergeCell ref="A81:J81"/>
    <mergeCell ref="N1:P1"/>
    <mergeCell ref="N5:O5"/>
  </mergeCells>
  <phoneticPr fontId="4" type="noConversion"/>
  <dataValidations count="1">
    <dataValidation type="list" allowBlank="1" showInputMessage="1" showErrorMessage="1" sqref="E3:E73" xr:uid="{2FF9A132-8776-4FE0-B050-ADA1CD0962E0}">
      <formula1>$Q$20:$Q$25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99F06-5152-4136-849C-8D726824663D}">
  <dimension ref="A1:K56"/>
  <sheetViews>
    <sheetView workbookViewId="0">
      <selection activeCell="H3" sqref="H3"/>
    </sheetView>
  </sheetViews>
  <sheetFormatPr defaultRowHeight="14.4" x14ac:dyDescent="0.3"/>
  <cols>
    <col min="1" max="1" width="3" bestFit="1" customWidth="1"/>
    <col min="2" max="2" width="4" bestFit="1" customWidth="1"/>
    <col min="3" max="3" width="37.109375" bestFit="1" customWidth="1"/>
    <col min="4" max="4" width="23.77734375" bestFit="1" customWidth="1"/>
    <col min="5" max="5" width="10.44140625" bestFit="1" customWidth="1"/>
    <col min="7" max="7" width="8.88671875" bestFit="1" customWidth="1"/>
    <col min="8" max="8" width="33" bestFit="1" customWidth="1"/>
    <col min="9" max="9" width="11.77734375" bestFit="1" customWidth="1"/>
    <col min="10" max="10" width="21.6640625" bestFit="1" customWidth="1"/>
    <col min="11" max="11" width="23.77734375" bestFit="1" customWidth="1"/>
  </cols>
  <sheetData>
    <row r="1" spans="1:11" ht="15" thickBot="1" x14ac:dyDescent="0.35">
      <c r="A1" s="127" t="s">
        <v>210</v>
      </c>
      <c r="B1" s="128"/>
      <c r="C1" s="128"/>
      <c r="D1" s="128"/>
      <c r="E1" s="129"/>
      <c r="G1" s="130" t="s">
        <v>209</v>
      </c>
      <c r="H1" s="131"/>
      <c r="I1" s="135"/>
    </row>
    <row r="2" spans="1:11" x14ac:dyDescent="0.3">
      <c r="A2" s="12" t="s">
        <v>0</v>
      </c>
      <c r="B2" s="13" t="s">
        <v>1</v>
      </c>
      <c r="C2" s="13" t="s">
        <v>15</v>
      </c>
      <c r="D2" s="13" t="s">
        <v>212</v>
      </c>
      <c r="E2" s="14" t="s">
        <v>4</v>
      </c>
      <c r="G2" s="119" t="s">
        <v>205</v>
      </c>
      <c r="H2" s="118" t="s">
        <v>204</v>
      </c>
      <c r="I2" s="120" t="s">
        <v>4</v>
      </c>
    </row>
    <row r="3" spans="1:11" x14ac:dyDescent="0.3">
      <c r="A3" s="5" t="s">
        <v>6</v>
      </c>
      <c r="B3" s="6"/>
      <c r="C3" s="7" t="s">
        <v>20</v>
      </c>
      <c r="D3" s="123"/>
      <c r="E3" s="115">
        <f>SUM(D4:D6)</f>
        <v>1840.8637603432428</v>
      </c>
      <c r="G3" s="5" t="s">
        <v>6</v>
      </c>
      <c r="H3" t="s">
        <v>206</v>
      </c>
      <c r="I3" s="121">
        <f>E54</f>
        <v>16500.517352669427</v>
      </c>
    </row>
    <row r="4" spans="1:11" x14ac:dyDescent="0.3">
      <c r="A4" s="5"/>
      <c r="B4" s="6" t="s">
        <v>7</v>
      </c>
      <c r="C4" s="1" t="s">
        <v>21</v>
      </c>
      <c r="D4" s="123">
        <f>Costs_init!L4</f>
        <v>122.72425068954949</v>
      </c>
      <c r="E4" s="112"/>
      <c r="G4" s="130" t="s">
        <v>115</v>
      </c>
      <c r="H4" s="131"/>
      <c r="I4" s="122">
        <f>SUM(I3)</f>
        <v>16500.517352669427</v>
      </c>
    </row>
    <row r="5" spans="1:11" x14ac:dyDescent="0.3">
      <c r="A5" s="5"/>
      <c r="B5" s="6" t="s">
        <v>13</v>
      </c>
      <c r="C5" s="1" t="s">
        <v>22</v>
      </c>
      <c r="D5" s="123">
        <f>Costs_init!L5</f>
        <v>122.72425068954949</v>
      </c>
      <c r="E5" s="112"/>
      <c r="G5" s="6"/>
      <c r="I5" s="111"/>
    </row>
    <row r="6" spans="1:11" x14ac:dyDescent="0.3">
      <c r="A6" s="5"/>
      <c r="B6" s="6" t="s">
        <v>14</v>
      </c>
      <c r="C6" s="1" t="s">
        <v>23</v>
      </c>
      <c r="D6" s="123">
        <f>SUM(Costs_init!L7:L19)</f>
        <v>1595.4152589641437</v>
      </c>
      <c r="E6" s="112"/>
    </row>
    <row r="7" spans="1:11" x14ac:dyDescent="0.3">
      <c r="A7" s="5" t="s">
        <v>8</v>
      </c>
      <c r="B7" s="6"/>
      <c r="C7" s="7" t="s">
        <v>37</v>
      </c>
      <c r="D7" s="123"/>
      <c r="E7" s="112">
        <f>SUM(D8:D17)</f>
        <v>2932.5324370166391</v>
      </c>
      <c r="K7" s="110"/>
    </row>
    <row r="8" spans="1:11" x14ac:dyDescent="0.3">
      <c r="A8" s="5"/>
      <c r="B8" s="6" t="s">
        <v>7</v>
      </c>
      <c r="C8" s="1" t="s">
        <v>38</v>
      </c>
      <c r="D8" s="123">
        <f>Costs_init!L21</f>
        <v>53.739269173306766</v>
      </c>
      <c r="E8" s="112"/>
      <c r="K8" s="110"/>
    </row>
    <row r="9" spans="1:11" x14ac:dyDescent="0.3">
      <c r="A9" s="5"/>
      <c r="B9" s="6" t="s">
        <v>13</v>
      </c>
      <c r="C9" s="1" t="s">
        <v>39</v>
      </c>
      <c r="D9" s="123">
        <f>Costs_init!L22</f>
        <v>227.20183735645651</v>
      </c>
      <c r="E9" s="112"/>
      <c r="K9" s="110"/>
    </row>
    <row r="10" spans="1:11" x14ac:dyDescent="0.3">
      <c r="A10" s="5"/>
      <c r="B10" s="6" t="s">
        <v>14</v>
      </c>
      <c r="C10" s="1" t="s">
        <v>40</v>
      </c>
      <c r="D10" s="123">
        <f>Costs_init!L23</f>
        <v>107.47853834661353</v>
      </c>
      <c r="E10" s="112"/>
      <c r="K10" s="110"/>
    </row>
    <row r="11" spans="1:11" x14ac:dyDescent="0.3">
      <c r="A11" s="5"/>
      <c r="B11" s="6" t="s">
        <v>94</v>
      </c>
      <c r="C11" s="1" t="s">
        <v>41</v>
      </c>
      <c r="D11" s="123">
        <f>Costs_init!L24</f>
        <v>53.739269173306766</v>
      </c>
      <c r="E11" s="112"/>
      <c r="K11" s="110"/>
    </row>
    <row r="12" spans="1:11" x14ac:dyDescent="0.3">
      <c r="A12" s="5"/>
      <c r="B12" s="6" t="s">
        <v>95</v>
      </c>
      <c r="C12" s="1" t="s">
        <v>42</v>
      </c>
      <c r="D12" s="123">
        <f>Costs_init!L25</f>
        <v>107.47853834661353</v>
      </c>
      <c r="E12" s="112"/>
      <c r="K12" s="110"/>
    </row>
    <row r="13" spans="1:11" x14ac:dyDescent="0.3">
      <c r="A13" s="5"/>
      <c r="B13" s="6" t="s">
        <v>96</v>
      </c>
      <c r="C13" s="1" t="s">
        <v>43</v>
      </c>
      <c r="D13" s="123">
        <f>Costs_init!L26</f>
        <v>340.80275603468476</v>
      </c>
      <c r="E13" s="112"/>
    </row>
    <row r="14" spans="1:11" x14ac:dyDescent="0.3">
      <c r="A14" s="5"/>
      <c r="B14" s="6" t="s">
        <v>97</v>
      </c>
      <c r="C14" s="1" t="s">
        <v>44</v>
      </c>
      <c r="D14" s="123">
        <f>Costs_init!L27</f>
        <v>1182.2639218127488</v>
      </c>
      <c r="E14" s="112"/>
    </row>
    <row r="15" spans="1:11" x14ac:dyDescent="0.3">
      <c r="A15" s="5"/>
      <c r="B15" s="6" t="s">
        <v>98</v>
      </c>
      <c r="C15" s="1" t="s">
        <v>45</v>
      </c>
      <c r="D15" s="123">
        <f>Costs_init!L28</f>
        <v>322.43561503984063</v>
      </c>
      <c r="E15" s="112"/>
    </row>
    <row r="16" spans="1:11" x14ac:dyDescent="0.3">
      <c r="A16" s="5"/>
      <c r="B16" s="6" t="s">
        <v>99</v>
      </c>
      <c r="C16" s="1" t="s">
        <v>46</v>
      </c>
      <c r="D16" s="123">
        <f>Costs_init!L29</f>
        <v>107.47853834661353</v>
      </c>
      <c r="E16" s="112"/>
    </row>
    <row r="17" spans="1:5" x14ac:dyDescent="0.3">
      <c r="A17" s="5"/>
      <c r="B17" s="6" t="s">
        <v>100</v>
      </c>
      <c r="C17" s="1" t="s">
        <v>47</v>
      </c>
      <c r="D17" s="123">
        <f>Costs_init!L30</f>
        <v>429.91415338645413</v>
      </c>
      <c r="E17" s="112"/>
    </row>
    <row r="18" spans="1:5" x14ac:dyDescent="0.3">
      <c r="A18" s="5" t="s">
        <v>9</v>
      </c>
      <c r="B18" s="6"/>
      <c r="C18" s="7" t="s">
        <v>48</v>
      </c>
      <c r="D18" s="123" t="str">
        <f>Costs_init!L31</f>
        <v/>
      </c>
      <c r="E18" s="112">
        <f>SUM(D19:D25)</f>
        <v>2863.9493320555316</v>
      </c>
    </row>
    <row r="19" spans="1:5" x14ac:dyDescent="0.3">
      <c r="A19" s="5"/>
      <c r="B19" s="6" t="s">
        <v>7</v>
      </c>
      <c r="C19" s="1" t="s">
        <v>49</v>
      </c>
      <c r="D19" s="123">
        <f>Costs_init!L32</f>
        <v>607.34057104913677</v>
      </c>
      <c r="E19" s="112"/>
    </row>
    <row r="20" spans="1:5" x14ac:dyDescent="0.3">
      <c r="A20" s="5"/>
      <c r="B20" s="6" t="s">
        <v>13</v>
      </c>
      <c r="C20" s="1" t="s">
        <v>50</v>
      </c>
      <c r="D20" s="123">
        <f>Costs_init!L33</f>
        <v>150.39544251565169</v>
      </c>
      <c r="E20" s="112"/>
    </row>
    <row r="21" spans="1:5" x14ac:dyDescent="0.3">
      <c r="A21" s="5"/>
      <c r="B21" s="6" t="s">
        <v>14</v>
      </c>
      <c r="C21" s="1" t="s">
        <v>51</v>
      </c>
      <c r="D21" s="123">
        <f>Costs_init!L34</f>
        <v>443.41333020857746</v>
      </c>
      <c r="E21" s="112"/>
    </row>
    <row r="22" spans="1:5" x14ac:dyDescent="0.3">
      <c r="A22" s="5"/>
      <c r="B22" s="6" t="s">
        <v>94</v>
      </c>
      <c r="C22" s="1" t="s">
        <v>52</v>
      </c>
      <c r="D22" s="123">
        <f>Costs_init!L35</f>
        <v>221.70666510428873</v>
      </c>
      <c r="E22" s="112"/>
    </row>
    <row r="23" spans="1:5" x14ac:dyDescent="0.3">
      <c r="A23" s="5"/>
      <c r="B23" s="6" t="s">
        <v>95</v>
      </c>
      <c r="C23" s="1" t="s">
        <v>53</v>
      </c>
      <c r="D23" s="123">
        <f>Costs_init!L36</f>
        <v>332.5599976564331</v>
      </c>
      <c r="E23" s="112"/>
    </row>
    <row r="24" spans="1:5" x14ac:dyDescent="0.3">
      <c r="A24" s="5"/>
      <c r="B24" s="6" t="s">
        <v>96</v>
      </c>
      <c r="C24" s="1" t="s">
        <v>54</v>
      </c>
      <c r="D24" s="123">
        <f>Costs_init!L37</f>
        <v>554.26666276072183</v>
      </c>
      <c r="E24" s="112"/>
    </row>
    <row r="25" spans="1:5" x14ac:dyDescent="0.3">
      <c r="A25" s="5"/>
      <c r="B25" s="6" t="s">
        <v>97</v>
      </c>
      <c r="C25" s="1" t="s">
        <v>194</v>
      </c>
      <c r="D25" s="123">
        <f>Costs_init!L38</f>
        <v>554.26666276072183</v>
      </c>
      <c r="E25" s="112"/>
    </row>
    <row r="26" spans="1:5" x14ac:dyDescent="0.3">
      <c r="A26" s="5" t="s">
        <v>10</v>
      </c>
      <c r="B26" s="6"/>
      <c r="C26" s="7" t="s">
        <v>55</v>
      </c>
      <c r="D26" s="123">
        <f>Costs_init!L39</f>
        <v>166.27999882821655</v>
      </c>
      <c r="E26" s="111">
        <f>D26</f>
        <v>166.27999882821655</v>
      </c>
    </row>
    <row r="27" spans="1:5" x14ac:dyDescent="0.3">
      <c r="A27" s="5" t="s">
        <v>11</v>
      </c>
      <c r="B27" s="6"/>
      <c r="C27" s="7" t="s">
        <v>56</v>
      </c>
      <c r="D27" s="123" t="str">
        <f>Costs_init!L40</f>
        <v/>
      </c>
      <c r="E27" s="112">
        <f>SUM(D28:D30)</f>
        <v>5602.7987937884327</v>
      </c>
    </row>
    <row r="28" spans="1:5" x14ac:dyDescent="0.3">
      <c r="A28" s="5"/>
      <c r="B28" s="6" t="s">
        <v>7</v>
      </c>
      <c r="C28" s="1" t="s">
        <v>57</v>
      </c>
      <c r="D28" s="123">
        <f>Costs_init!L41</f>
        <v>242.93622841965473</v>
      </c>
      <c r="E28" s="112"/>
    </row>
    <row r="29" spans="1:5" x14ac:dyDescent="0.3">
      <c r="A29" s="5"/>
      <c r="B29" s="6" t="s">
        <v>13</v>
      </c>
      <c r="C29" s="1" t="s">
        <v>58</v>
      </c>
      <c r="D29" s="123">
        <f>Costs_init!L42</f>
        <v>182.20217131474107</v>
      </c>
      <c r="E29" s="112"/>
    </row>
    <row r="30" spans="1:5" x14ac:dyDescent="0.3">
      <c r="A30" s="5"/>
      <c r="B30" s="6" t="s">
        <v>14</v>
      </c>
      <c r="C30" s="1" t="s">
        <v>59</v>
      </c>
      <c r="D30" s="123">
        <f>SUM(Costs_init!L44:L50)</f>
        <v>5177.6603940540372</v>
      </c>
      <c r="E30" s="112"/>
    </row>
    <row r="31" spans="1:5" x14ac:dyDescent="0.3">
      <c r="A31" s="5" t="s">
        <v>12</v>
      </c>
      <c r="B31" s="6"/>
      <c r="C31" s="7" t="s">
        <v>66</v>
      </c>
      <c r="D31" s="123"/>
      <c r="E31" s="112">
        <f>SUM(D32:D40)</f>
        <v>1364.1486868492418</v>
      </c>
    </row>
    <row r="32" spans="1:5" x14ac:dyDescent="0.3">
      <c r="A32" s="5"/>
      <c r="B32" s="6" t="s">
        <v>7</v>
      </c>
      <c r="C32" s="1" t="s">
        <v>67</v>
      </c>
      <c r="D32" s="123">
        <f>Costs_init!L52</f>
        <v>200.52725668753558</v>
      </c>
      <c r="E32" s="112"/>
    </row>
    <row r="33" spans="1:5" x14ac:dyDescent="0.3">
      <c r="A33" s="5"/>
      <c r="B33" s="6" t="s">
        <v>13</v>
      </c>
      <c r="C33" s="1" t="s">
        <v>68</v>
      </c>
      <c r="D33" s="123">
        <f>Costs_init!L53</f>
        <v>150.39544251565169</v>
      </c>
      <c r="E33" s="112"/>
    </row>
    <row r="34" spans="1:5" x14ac:dyDescent="0.3">
      <c r="A34" s="5"/>
      <c r="B34" s="6" t="s">
        <v>14</v>
      </c>
      <c r="C34" s="1" t="s">
        <v>69</v>
      </c>
      <c r="D34" s="123">
        <f>Costs_init!L54</f>
        <v>250.6590708594195</v>
      </c>
      <c r="E34" s="112"/>
    </row>
    <row r="35" spans="1:5" x14ac:dyDescent="0.3">
      <c r="A35" s="5"/>
      <c r="B35" s="6" t="s">
        <v>94</v>
      </c>
      <c r="C35" s="1" t="s">
        <v>70</v>
      </c>
      <c r="D35" s="123">
        <f>Costs_init!L55</f>
        <v>150.39544251565169</v>
      </c>
      <c r="E35" s="112"/>
    </row>
    <row r="36" spans="1:5" x14ac:dyDescent="0.3">
      <c r="A36" s="5"/>
      <c r="B36" s="6" t="s">
        <v>95</v>
      </c>
      <c r="C36" s="1" t="s">
        <v>196</v>
      </c>
      <c r="D36" s="123">
        <f>Costs_init!L56</f>
        <v>150.39544251565169</v>
      </c>
      <c r="E36" s="112"/>
    </row>
    <row r="37" spans="1:5" x14ac:dyDescent="0.3">
      <c r="A37" s="5"/>
      <c r="B37" s="6" t="s">
        <v>96</v>
      </c>
      <c r="C37" s="1" t="s">
        <v>71</v>
      </c>
      <c r="D37" s="123">
        <f>Costs_init!L57</f>
        <v>100.26362834376779</v>
      </c>
      <c r="E37" s="112"/>
    </row>
    <row r="38" spans="1:5" x14ac:dyDescent="0.3">
      <c r="A38" s="5"/>
      <c r="B38" s="6" t="s">
        <v>97</v>
      </c>
      <c r="C38" s="1" t="s">
        <v>72</v>
      </c>
      <c r="D38" s="123">
        <f>Costs_init!L58</f>
        <v>150.39544251565169</v>
      </c>
      <c r="E38" s="112"/>
    </row>
    <row r="39" spans="1:5" x14ac:dyDescent="0.3">
      <c r="A39" s="5"/>
      <c r="B39" s="6" t="s">
        <v>98</v>
      </c>
      <c r="C39" s="1" t="s">
        <v>193</v>
      </c>
      <c r="D39" s="123">
        <f>Costs_init!L59</f>
        <v>100.26362834376779</v>
      </c>
      <c r="E39" s="112"/>
    </row>
    <row r="40" spans="1:5" x14ac:dyDescent="0.3">
      <c r="A40" s="5"/>
      <c r="B40" s="6" t="s">
        <v>99</v>
      </c>
      <c r="C40" s="1" t="s">
        <v>73</v>
      </c>
      <c r="D40" s="123">
        <f>Costs_init!L60</f>
        <v>110.85333255214437</v>
      </c>
      <c r="E40" s="112"/>
    </row>
    <row r="41" spans="1:5" x14ac:dyDescent="0.3">
      <c r="A41" s="5" t="s">
        <v>87</v>
      </c>
      <c r="B41" s="6"/>
      <c r="C41" s="7" t="s">
        <v>74</v>
      </c>
      <c r="D41" s="123" t="str">
        <f>Costs_init!L61</f>
        <v/>
      </c>
      <c r="E41" s="112">
        <f>SUM(D42:D53)</f>
        <v>1729.9443437881205</v>
      </c>
    </row>
    <row r="42" spans="1:5" ht="28.8" x14ac:dyDescent="0.3">
      <c r="A42" s="5"/>
      <c r="B42" s="6" t="s">
        <v>7</v>
      </c>
      <c r="C42" s="1" t="s">
        <v>75</v>
      </c>
      <c r="D42" s="123">
        <f>Costs_init!L62</f>
        <v>61.362125344774746</v>
      </c>
      <c r="E42" s="112"/>
    </row>
    <row r="43" spans="1:5" x14ac:dyDescent="0.3">
      <c r="A43" s="5"/>
      <c r="B43" s="6" t="s">
        <v>13</v>
      </c>
      <c r="C43" s="1" t="s">
        <v>76</v>
      </c>
      <c r="D43" s="123">
        <f>Costs_init!L63</f>
        <v>61.362125344774746</v>
      </c>
      <c r="E43" s="112"/>
    </row>
    <row r="44" spans="1:5" x14ac:dyDescent="0.3">
      <c r="A44" s="5"/>
      <c r="B44" s="6" t="s">
        <v>14</v>
      </c>
      <c r="C44" s="1" t="s">
        <v>77</v>
      </c>
      <c r="D44" s="123">
        <f>Costs_init!L64</f>
        <v>56.800459339114127</v>
      </c>
      <c r="E44" s="112"/>
    </row>
    <row r="45" spans="1:5" ht="28.8" x14ac:dyDescent="0.3">
      <c r="A45" s="5"/>
      <c r="B45" s="6" t="s">
        <v>94</v>
      </c>
      <c r="C45" s="1" t="s">
        <v>78</v>
      </c>
      <c r="D45" s="123">
        <f>Costs_init!L65</f>
        <v>113.60091867822825</v>
      </c>
      <c r="E45" s="112"/>
    </row>
    <row r="46" spans="1:5" ht="28.8" x14ac:dyDescent="0.3">
      <c r="A46" s="5"/>
      <c r="B46" s="6" t="s">
        <v>95</v>
      </c>
      <c r="C46" s="1" t="s">
        <v>79</v>
      </c>
      <c r="D46" s="123">
        <f>Costs_init!L66</f>
        <v>122.72425068954949</v>
      </c>
      <c r="E46" s="112"/>
    </row>
    <row r="47" spans="1:5" x14ac:dyDescent="0.3">
      <c r="A47" s="5"/>
      <c r="B47" s="6" t="s">
        <v>96</v>
      </c>
      <c r="C47" s="1" t="s">
        <v>80</v>
      </c>
      <c r="D47" s="123">
        <f>Costs_init!L67</f>
        <v>161.21780751992031</v>
      </c>
      <c r="E47" s="112"/>
    </row>
    <row r="48" spans="1:5" x14ac:dyDescent="0.3">
      <c r="A48" s="5"/>
      <c r="B48" s="6" t="s">
        <v>97</v>
      </c>
      <c r="C48" s="1" t="s">
        <v>81</v>
      </c>
      <c r="D48" s="123">
        <f>Costs_init!L68</f>
        <v>303.67028552456838</v>
      </c>
      <c r="E48" s="112"/>
    </row>
    <row r="49" spans="1:5" x14ac:dyDescent="0.3">
      <c r="A49" s="5"/>
      <c r="B49" s="6" t="s">
        <v>98</v>
      </c>
      <c r="C49" s="1" t="s">
        <v>82</v>
      </c>
      <c r="D49" s="123">
        <f>Costs_init!L69</f>
        <v>277.13333138036091</v>
      </c>
      <c r="E49" s="112"/>
    </row>
    <row r="50" spans="1:5" x14ac:dyDescent="0.3">
      <c r="A50" s="5"/>
      <c r="B50" s="6" t="s">
        <v>99</v>
      </c>
      <c r="C50" s="1" t="s">
        <v>83</v>
      </c>
      <c r="D50" s="123">
        <f>Costs_init!L70</f>
        <v>110.85333255214437</v>
      </c>
      <c r="E50" s="112"/>
    </row>
    <row r="51" spans="1:5" x14ac:dyDescent="0.3">
      <c r="A51" s="5"/>
      <c r="B51" s="6" t="s">
        <v>100</v>
      </c>
      <c r="C51" s="1" t="s">
        <v>84</v>
      </c>
      <c r="D51" s="123">
        <f>Costs_init!L71</f>
        <v>277.13333138036091</v>
      </c>
      <c r="E51" s="112"/>
    </row>
    <row r="52" spans="1:5" x14ac:dyDescent="0.3">
      <c r="A52" s="5"/>
      <c r="B52" s="6" t="s">
        <v>101</v>
      </c>
      <c r="C52" s="1" t="s">
        <v>85</v>
      </c>
      <c r="D52" s="123">
        <f>Costs_init!L72</f>
        <v>122.72425068954949</v>
      </c>
      <c r="E52" s="112"/>
    </row>
    <row r="53" spans="1:5" x14ac:dyDescent="0.3">
      <c r="A53" s="8"/>
      <c r="B53" s="9" t="s">
        <v>102</v>
      </c>
      <c r="C53" s="10" t="s">
        <v>86</v>
      </c>
      <c r="D53" s="123">
        <f>Costs_init!L73</f>
        <v>61.362125344774746</v>
      </c>
      <c r="E53" s="113"/>
    </row>
    <row r="54" spans="1:5" x14ac:dyDescent="0.3">
      <c r="A54" s="130" t="s">
        <v>4</v>
      </c>
      <c r="B54" s="131"/>
      <c r="C54" s="131"/>
      <c r="D54" s="131"/>
      <c r="E54" s="114">
        <f>SUM(E3:E53)</f>
        <v>16500.517352669427</v>
      </c>
    </row>
    <row r="55" spans="1:5" x14ac:dyDescent="0.3">
      <c r="E55" s="2"/>
    </row>
    <row r="56" spans="1:5" x14ac:dyDescent="0.3">
      <c r="A56" s="6"/>
      <c r="B56" s="6"/>
    </row>
  </sheetData>
  <mergeCells count="4">
    <mergeCell ref="G1:I1"/>
    <mergeCell ref="G4:H4"/>
    <mergeCell ref="A54:D54"/>
    <mergeCell ref="A1:E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4FB62-BD60-4D19-91EB-FF898F716C5A}">
  <dimension ref="A1:R82"/>
  <sheetViews>
    <sheetView tabSelected="1" topLeftCell="J1" workbookViewId="0">
      <selection activeCell="R6" sqref="R6"/>
    </sheetView>
  </sheetViews>
  <sheetFormatPr defaultRowHeight="14.4" x14ac:dyDescent="0.3"/>
  <cols>
    <col min="1" max="1" width="3" bestFit="1" customWidth="1"/>
    <col min="2" max="2" width="4" bestFit="1" customWidth="1"/>
    <col min="3" max="3" width="3" bestFit="1" customWidth="1"/>
    <col min="4" max="4" width="38.5546875" customWidth="1"/>
    <col min="5" max="5" width="23.77734375" bestFit="1" customWidth="1"/>
    <col min="9" max="9" width="9.44140625" bestFit="1" customWidth="1"/>
    <col min="10" max="10" width="14.44140625" bestFit="1" customWidth="1"/>
    <col min="11" max="11" width="10.44140625" bestFit="1" customWidth="1"/>
    <col min="12" max="12" width="14.109375" customWidth="1"/>
    <col min="14" max="14" width="8.88671875" bestFit="1" customWidth="1"/>
    <col min="15" max="15" width="33" bestFit="1" customWidth="1"/>
    <col min="16" max="16" width="11.77734375" bestFit="1" customWidth="1"/>
    <col min="17" max="17" width="21.6640625" bestFit="1" customWidth="1"/>
    <col min="18" max="18" width="23.77734375" bestFit="1" customWidth="1"/>
  </cols>
  <sheetData>
    <row r="1" spans="1:17" ht="15" thickBot="1" x14ac:dyDescent="0.35">
      <c r="A1" s="127" t="s">
        <v>191</v>
      </c>
      <c r="B1" s="128"/>
      <c r="C1" s="128"/>
      <c r="D1" s="128"/>
      <c r="E1" s="128"/>
      <c r="F1" s="128"/>
      <c r="G1" s="128"/>
      <c r="H1" s="128"/>
      <c r="I1" s="128"/>
      <c r="J1" s="128"/>
      <c r="K1" s="129"/>
      <c r="L1" s="125" t="s">
        <v>213</v>
      </c>
      <c r="N1" s="130" t="s">
        <v>203</v>
      </c>
      <c r="O1" s="131"/>
      <c r="P1" s="135"/>
    </row>
    <row r="2" spans="1:17" x14ac:dyDescent="0.3">
      <c r="A2" s="12" t="s">
        <v>0</v>
      </c>
      <c r="B2" s="13" t="s">
        <v>1</v>
      </c>
      <c r="C2" s="13" t="s">
        <v>2</v>
      </c>
      <c r="D2" s="13" t="s">
        <v>15</v>
      </c>
      <c r="E2" s="13" t="s">
        <v>19</v>
      </c>
      <c r="F2" s="13" t="s">
        <v>16</v>
      </c>
      <c r="G2" s="13" t="s">
        <v>17</v>
      </c>
      <c r="H2" s="13" t="s">
        <v>18</v>
      </c>
      <c r="I2" s="13" t="s">
        <v>3</v>
      </c>
      <c r="J2" s="13" t="s">
        <v>5</v>
      </c>
      <c r="K2" s="14" t="s">
        <v>4</v>
      </c>
      <c r="L2" s="118"/>
      <c r="N2" s="119" t="s">
        <v>205</v>
      </c>
      <c r="O2" s="118" t="s">
        <v>204</v>
      </c>
      <c r="P2" s="120" t="s">
        <v>4</v>
      </c>
      <c r="Q2" s="136" t="s">
        <v>216</v>
      </c>
    </row>
    <row r="3" spans="1:17" x14ac:dyDescent="0.3">
      <c r="A3" s="5" t="s">
        <v>6</v>
      </c>
      <c r="B3" s="6"/>
      <c r="C3" s="6"/>
      <c r="D3" s="7" t="s">
        <v>20</v>
      </c>
      <c r="H3" s="111" t="str">
        <f t="shared" ref="H3:H66" si="0">_xlfn.XLOOKUP(E3,$Q$20:$Q$25,$R$20:$R$25,"")</f>
        <v/>
      </c>
      <c r="I3" s="111" t="str">
        <f>IFERROR(H3*F3,"")</f>
        <v/>
      </c>
      <c r="K3" s="115">
        <f>SUM(J4:J19)</f>
        <v>1194.7710082745937</v>
      </c>
      <c r="L3" s="110" t="str">
        <f>IFERROR(I3+($P$10*F3),"")</f>
        <v/>
      </c>
      <c r="N3" s="5" t="s">
        <v>6</v>
      </c>
      <c r="O3" t="s">
        <v>206</v>
      </c>
      <c r="P3" s="121">
        <f>K74</f>
        <v>13383.612572529586</v>
      </c>
      <c r="Q3" s="137">
        <f>((P3-Costs_init!P3)/Costs_init!P3)</f>
        <v>2.7412946238235029E-2</v>
      </c>
    </row>
    <row r="4" spans="1:17" x14ac:dyDescent="0.3">
      <c r="A4" s="5"/>
      <c r="B4" s="6" t="s">
        <v>7</v>
      </c>
      <c r="C4" s="6"/>
      <c r="D4" s="1" t="s">
        <v>21</v>
      </c>
      <c r="E4" t="s">
        <v>104</v>
      </c>
      <c r="F4">
        <v>2</v>
      </c>
      <c r="G4" t="s">
        <v>103</v>
      </c>
      <c r="H4" s="111">
        <f t="shared" si="0"/>
        <v>49.782125344774748</v>
      </c>
      <c r="I4" s="111">
        <f t="shared" ref="I4:I67" si="1">IFERROR(H4*F4,"")</f>
        <v>99.564250689549496</v>
      </c>
      <c r="J4" s="111">
        <f>I4</f>
        <v>99.564250689549496</v>
      </c>
      <c r="K4" s="112"/>
      <c r="L4" s="110">
        <f t="shared" ref="L4:L67" si="2">IFERROR(I4+($P$10*F4),"")</f>
        <v>121.9842506895495</v>
      </c>
      <c r="N4" s="5" t="s">
        <v>8</v>
      </c>
      <c r="O4" t="s">
        <v>207</v>
      </c>
      <c r="P4" s="121">
        <f>K81</f>
        <v>172.5</v>
      </c>
      <c r="Q4" s="137">
        <f>((P4-Costs_init!P4)/Costs_init!P4)</f>
        <v>0</v>
      </c>
    </row>
    <row r="5" spans="1:17" x14ac:dyDescent="0.3">
      <c r="A5" s="5"/>
      <c r="B5" s="6" t="s">
        <v>13</v>
      </c>
      <c r="C5" s="6"/>
      <c r="D5" s="1" t="s">
        <v>22</v>
      </c>
      <c r="E5" t="s">
        <v>104</v>
      </c>
      <c r="F5">
        <v>2</v>
      </c>
      <c r="G5" t="s">
        <v>103</v>
      </c>
      <c r="H5" s="111">
        <f t="shared" si="0"/>
        <v>49.782125344774748</v>
      </c>
      <c r="I5" s="111">
        <f t="shared" si="1"/>
        <v>99.564250689549496</v>
      </c>
      <c r="J5" s="111">
        <f>I5</f>
        <v>99.564250689549496</v>
      </c>
      <c r="K5" s="112"/>
      <c r="L5" s="110">
        <f t="shared" si="2"/>
        <v>121.9842506895495</v>
      </c>
      <c r="N5" s="130" t="s">
        <v>115</v>
      </c>
      <c r="O5" s="131"/>
      <c r="P5" s="122">
        <f>SUM(P3:P4)</f>
        <v>13556.112572529586</v>
      </c>
      <c r="Q5" s="137">
        <f>((P5-Costs_init!P5)/Costs_init!P5)</f>
        <v>2.7054682202379422E-2</v>
      </c>
    </row>
    <row r="6" spans="1:17" x14ac:dyDescent="0.3">
      <c r="A6" s="5"/>
      <c r="B6" s="6" t="s">
        <v>14</v>
      </c>
      <c r="C6" s="6"/>
      <c r="D6" s="1" t="s">
        <v>23</v>
      </c>
      <c r="H6" s="111" t="str">
        <f t="shared" si="0"/>
        <v/>
      </c>
      <c r="I6" s="111" t="str">
        <f t="shared" si="1"/>
        <v/>
      </c>
      <c r="J6" s="111">
        <f>SUM(I7:I19)</f>
        <v>995.64250689549476</v>
      </c>
      <c r="K6" s="112"/>
      <c r="L6" s="110"/>
      <c r="Q6" s="137"/>
    </row>
    <row r="7" spans="1:17" x14ac:dyDescent="0.3">
      <c r="A7" s="5"/>
      <c r="B7" s="6"/>
      <c r="C7" s="6" t="s">
        <v>6</v>
      </c>
      <c r="D7" s="1" t="s">
        <v>24</v>
      </c>
      <c r="E7" t="s">
        <v>104</v>
      </c>
      <c r="F7">
        <v>1</v>
      </c>
      <c r="G7" t="s">
        <v>103</v>
      </c>
      <c r="H7" s="111">
        <f t="shared" si="0"/>
        <v>49.782125344774748</v>
      </c>
      <c r="I7" s="111">
        <f t="shared" si="1"/>
        <v>49.782125344774748</v>
      </c>
      <c r="J7" s="111"/>
      <c r="K7" s="112"/>
      <c r="L7" s="110">
        <f t="shared" si="2"/>
        <v>60.992125344774749</v>
      </c>
      <c r="O7" t="s">
        <v>208</v>
      </c>
      <c r="P7">
        <f>Costs_init!P7</f>
        <v>3299.7543381673559</v>
      </c>
      <c r="Q7" s="137"/>
    </row>
    <row r="8" spans="1:17" x14ac:dyDescent="0.3">
      <c r="A8" s="5"/>
      <c r="B8" s="6"/>
      <c r="C8" s="6" t="s">
        <v>8</v>
      </c>
      <c r="D8" s="1" t="s">
        <v>25</v>
      </c>
      <c r="E8" t="s">
        <v>104</v>
      </c>
      <c r="F8">
        <v>2</v>
      </c>
      <c r="G8" t="s">
        <v>103</v>
      </c>
      <c r="H8" s="111">
        <f t="shared" si="0"/>
        <v>49.782125344774748</v>
      </c>
      <c r="I8" s="111">
        <f t="shared" si="1"/>
        <v>99.564250689549496</v>
      </c>
      <c r="J8" s="111"/>
      <c r="K8" s="112"/>
      <c r="L8" s="110">
        <f t="shared" si="2"/>
        <v>121.9842506895495</v>
      </c>
      <c r="O8" t="s">
        <v>211</v>
      </c>
      <c r="P8" s="111">
        <f>P5+P7-P3</f>
        <v>3472.2543381673568</v>
      </c>
    </row>
    <row r="9" spans="1:17" x14ac:dyDescent="0.3">
      <c r="A9" s="5"/>
      <c r="B9" s="6"/>
      <c r="C9" s="6" t="s">
        <v>9</v>
      </c>
      <c r="D9" s="1" t="s">
        <v>26</v>
      </c>
      <c r="E9" t="s">
        <v>104</v>
      </c>
      <c r="F9">
        <v>1</v>
      </c>
      <c r="G9" t="s">
        <v>103</v>
      </c>
      <c r="H9" s="111">
        <f t="shared" si="0"/>
        <v>49.782125344774748</v>
      </c>
      <c r="I9" s="111">
        <f t="shared" si="1"/>
        <v>49.782125344774748</v>
      </c>
      <c r="J9" s="111"/>
      <c r="K9" s="112"/>
      <c r="L9" s="110">
        <f t="shared" si="2"/>
        <v>60.992125344774749</v>
      </c>
      <c r="O9" t="s">
        <v>214</v>
      </c>
      <c r="P9" s="126">
        <f>SUM(F4:F73)</f>
        <v>310</v>
      </c>
    </row>
    <row r="10" spans="1:17" x14ac:dyDescent="0.3">
      <c r="A10" s="5"/>
      <c r="B10" s="6"/>
      <c r="C10" s="6" t="s">
        <v>10</v>
      </c>
      <c r="D10" s="1" t="s">
        <v>27</v>
      </c>
      <c r="E10" t="s">
        <v>104</v>
      </c>
      <c r="F10">
        <v>2</v>
      </c>
      <c r="G10" t="s">
        <v>103</v>
      </c>
      <c r="H10" s="111">
        <f t="shared" si="0"/>
        <v>49.782125344774748</v>
      </c>
      <c r="I10" s="111">
        <f t="shared" si="1"/>
        <v>99.564250689549496</v>
      </c>
      <c r="J10" s="111"/>
      <c r="K10" s="112"/>
      <c r="L10" s="110">
        <f t="shared" si="2"/>
        <v>121.9842506895495</v>
      </c>
      <c r="O10" t="s">
        <v>215</v>
      </c>
      <c r="P10" s="123">
        <f>ROUNDUP(P8/P9,2)</f>
        <v>11.209999999999999</v>
      </c>
    </row>
    <row r="11" spans="1:17" x14ac:dyDescent="0.3">
      <c r="A11" s="5"/>
      <c r="B11" s="6"/>
      <c r="C11" s="6" t="s">
        <v>11</v>
      </c>
      <c r="D11" s="1" t="s">
        <v>28</v>
      </c>
      <c r="E11" t="s">
        <v>104</v>
      </c>
      <c r="F11">
        <v>1</v>
      </c>
      <c r="G11" t="s">
        <v>103</v>
      </c>
      <c r="H11" s="111">
        <f t="shared" si="0"/>
        <v>49.782125344774748</v>
      </c>
      <c r="I11" s="111">
        <f t="shared" si="1"/>
        <v>49.782125344774748</v>
      </c>
      <c r="J11" s="111"/>
      <c r="K11" s="112"/>
      <c r="L11" s="110">
        <f t="shared" si="2"/>
        <v>60.992125344774749</v>
      </c>
    </row>
    <row r="12" spans="1:17" x14ac:dyDescent="0.3">
      <c r="A12" s="5"/>
      <c r="B12" s="6"/>
      <c r="C12" s="6" t="s">
        <v>12</v>
      </c>
      <c r="D12" s="1" t="s">
        <v>29</v>
      </c>
      <c r="E12" t="s">
        <v>104</v>
      </c>
      <c r="F12">
        <v>1</v>
      </c>
      <c r="G12" t="s">
        <v>103</v>
      </c>
      <c r="H12" s="111">
        <f t="shared" si="0"/>
        <v>49.782125344774748</v>
      </c>
      <c r="I12" s="111">
        <f t="shared" si="1"/>
        <v>49.782125344774748</v>
      </c>
      <c r="J12" s="111"/>
      <c r="K12" s="112"/>
      <c r="L12" s="110">
        <f t="shared" si="2"/>
        <v>60.992125344774749</v>
      </c>
    </row>
    <row r="13" spans="1:17" x14ac:dyDescent="0.3">
      <c r="A13" s="5"/>
      <c r="B13" s="6"/>
      <c r="C13" s="6" t="s">
        <v>87</v>
      </c>
      <c r="D13" s="1" t="s">
        <v>30</v>
      </c>
      <c r="E13" t="s">
        <v>104</v>
      </c>
      <c r="F13">
        <v>2</v>
      </c>
      <c r="G13" t="s">
        <v>103</v>
      </c>
      <c r="H13" s="111">
        <f t="shared" si="0"/>
        <v>49.782125344774748</v>
      </c>
      <c r="I13" s="111">
        <f t="shared" si="1"/>
        <v>99.564250689549496</v>
      </c>
      <c r="J13" s="111"/>
      <c r="K13" s="112"/>
      <c r="L13" s="110">
        <f t="shared" si="2"/>
        <v>121.9842506895495</v>
      </c>
    </row>
    <row r="14" spans="1:17" x14ac:dyDescent="0.3">
      <c r="A14" s="5"/>
      <c r="B14" s="6"/>
      <c r="C14" s="6" t="s">
        <v>88</v>
      </c>
      <c r="D14" s="1" t="s">
        <v>31</v>
      </c>
      <c r="E14" t="s">
        <v>104</v>
      </c>
      <c r="F14">
        <v>2</v>
      </c>
      <c r="G14" t="s">
        <v>103</v>
      </c>
      <c r="H14" s="111">
        <f t="shared" si="0"/>
        <v>49.782125344774748</v>
      </c>
      <c r="I14" s="111">
        <f t="shared" si="1"/>
        <v>99.564250689549496</v>
      </c>
      <c r="J14" s="111"/>
      <c r="K14" s="112"/>
      <c r="L14" s="110">
        <f t="shared" si="2"/>
        <v>121.9842506895495</v>
      </c>
    </row>
    <row r="15" spans="1:17" x14ac:dyDescent="0.3">
      <c r="A15" s="5"/>
      <c r="B15" s="6"/>
      <c r="C15" s="6" t="s">
        <v>89</v>
      </c>
      <c r="D15" s="1" t="s">
        <v>32</v>
      </c>
      <c r="E15" t="s">
        <v>104</v>
      </c>
      <c r="F15">
        <v>2</v>
      </c>
      <c r="G15" t="s">
        <v>103</v>
      </c>
      <c r="H15" s="111">
        <f t="shared" si="0"/>
        <v>49.782125344774748</v>
      </c>
      <c r="I15" s="111">
        <f t="shared" si="1"/>
        <v>99.564250689549496</v>
      </c>
      <c r="J15" s="111"/>
      <c r="K15" s="112"/>
      <c r="L15" s="110">
        <f t="shared" si="2"/>
        <v>121.9842506895495</v>
      </c>
    </row>
    <row r="16" spans="1:17" x14ac:dyDescent="0.3">
      <c r="A16" s="5"/>
      <c r="B16" s="6"/>
      <c r="C16" s="6" t="s">
        <v>90</v>
      </c>
      <c r="D16" s="1" t="s">
        <v>33</v>
      </c>
      <c r="E16" t="s">
        <v>104</v>
      </c>
      <c r="F16">
        <v>2</v>
      </c>
      <c r="G16" t="s">
        <v>103</v>
      </c>
      <c r="H16" s="111">
        <f t="shared" si="0"/>
        <v>49.782125344774748</v>
      </c>
      <c r="I16" s="111">
        <f t="shared" si="1"/>
        <v>99.564250689549496</v>
      </c>
      <c r="J16" s="111"/>
      <c r="K16" s="112"/>
      <c r="L16" s="110">
        <f t="shared" si="2"/>
        <v>121.9842506895495</v>
      </c>
    </row>
    <row r="17" spans="1:18" x14ac:dyDescent="0.3">
      <c r="A17" s="5"/>
      <c r="B17" s="6"/>
      <c r="C17" s="6" t="s">
        <v>91</v>
      </c>
      <c r="D17" s="1" t="s">
        <v>34</v>
      </c>
      <c r="E17" t="s">
        <v>104</v>
      </c>
      <c r="F17">
        <v>1</v>
      </c>
      <c r="G17" t="s">
        <v>103</v>
      </c>
      <c r="H17" s="111">
        <f t="shared" si="0"/>
        <v>49.782125344774748</v>
      </c>
      <c r="I17" s="111">
        <f t="shared" si="1"/>
        <v>49.782125344774748</v>
      </c>
      <c r="J17" s="111"/>
      <c r="K17" s="112"/>
      <c r="L17" s="110">
        <f t="shared" si="2"/>
        <v>60.992125344774749</v>
      </c>
    </row>
    <row r="18" spans="1:18" x14ac:dyDescent="0.3">
      <c r="A18" s="5"/>
      <c r="B18" s="6"/>
      <c r="C18" s="6" t="s">
        <v>92</v>
      </c>
      <c r="D18" s="1" t="s">
        <v>35</v>
      </c>
      <c r="E18" t="s">
        <v>104</v>
      </c>
      <c r="F18">
        <v>1</v>
      </c>
      <c r="G18" t="s">
        <v>103</v>
      </c>
      <c r="H18" s="111">
        <f t="shared" si="0"/>
        <v>49.782125344774748</v>
      </c>
      <c r="I18" s="111">
        <f t="shared" si="1"/>
        <v>49.782125344774748</v>
      </c>
      <c r="J18" s="111"/>
      <c r="K18" s="112"/>
      <c r="L18" s="110">
        <f t="shared" si="2"/>
        <v>60.992125344774749</v>
      </c>
    </row>
    <row r="19" spans="1:18" x14ac:dyDescent="0.3">
      <c r="A19" s="5"/>
      <c r="B19" s="6"/>
      <c r="C19" s="6" t="s">
        <v>93</v>
      </c>
      <c r="D19" s="1" t="s">
        <v>36</v>
      </c>
      <c r="E19" t="s">
        <v>104</v>
      </c>
      <c r="F19">
        <v>2</v>
      </c>
      <c r="G19" t="s">
        <v>103</v>
      </c>
      <c r="H19" s="111">
        <f t="shared" si="0"/>
        <v>49.782125344774748</v>
      </c>
      <c r="I19" s="111">
        <f t="shared" si="1"/>
        <v>99.564250689549496</v>
      </c>
      <c r="J19" s="111"/>
      <c r="K19" s="112"/>
      <c r="L19" s="110">
        <f t="shared" si="2"/>
        <v>121.9842506895495</v>
      </c>
      <c r="Q19" s="7" t="s">
        <v>105</v>
      </c>
      <c r="R19" t="s">
        <v>190</v>
      </c>
    </row>
    <row r="20" spans="1:18" x14ac:dyDescent="0.3">
      <c r="A20" s="5" t="s">
        <v>8</v>
      </c>
      <c r="B20" s="6"/>
      <c r="C20" s="6"/>
      <c r="D20" s="7" t="s">
        <v>37</v>
      </c>
      <c r="H20" s="111" t="str">
        <f t="shared" si="0"/>
        <v/>
      </c>
      <c r="I20" s="111" t="str">
        <f t="shared" si="1"/>
        <v/>
      </c>
      <c r="J20" s="111"/>
      <c r="K20" s="112">
        <f>SUM(J21:J30)</f>
        <v>2433.690244536559</v>
      </c>
      <c r="L20" s="110" t="str">
        <f t="shared" si="2"/>
        <v/>
      </c>
      <c r="Q20" t="s">
        <v>104</v>
      </c>
      <c r="R20" s="110">
        <f>'Company definition'!F82</f>
        <v>49.782125344774748</v>
      </c>
    </row>
    <row r="21" spans="1:18" x14ac:dyDescent="0.3">
      <c r="A21" s="5"/>
      <c r="B21" s="6" t="s">
        <v>7</v>
      </c>
      <c r="C21" s="6"/>
      <c r="D21" s="1" t="s">
        <v>38</v>
      </c>
      <c r="E21" t="s">
        <v>106</v>
      </c>
      <c r="F21">
        <v>1</v>
      </c>
      <c r="G21" t="s">
        <v>103</v>
      </c>
      <c r="H21" s="111">
        <f t="shared" si="0"/>
        <v>42.159269173306768</v>
      </c>
      <c r="I21" s="111">
        <f t="shared" si="1"/>
        <v>42.159269173306768</v>
      </c>
      <c r="J21" s="111">
        <f t="shared" ref="J21:J30" si="3">I21</f>
        <v>42.159269173306768</v>
      </c>
      <c r="K21" s="112"/>
      <c r="L21" s="110">
        <f t="shared" si="2"/>
        <v>53.369269173306769</v>
      </c>
      <c r="Q21" t="s">
        <v>107</v>
      </c>
      <c r="R21" s="110">
        <f>'Company definition'!F85</f>
        <v>45.220459339114129</v>
      </c>
    </row>
    <row r="22" spans="1:18" x14ac:dyDescent="0.3">
      <c r="A22" s="5"/>
      <c r="B22" s="6" t="s">
        <v>13</v>
      </c>
      <c r="C22" s="6"/>
      <c r="D22" s="1" t="s">
        <v>39</v>
      </c>
      <c r="E22" t="s">
        <v>107</v>
      </c>
      <c r="F22">
        <v>4</v>
      </c>
      <c r="G22" t="s">
        <v>103</v>
      </c>
      <c r="H22" s="111">
        <f t="shared" si="0"/>
        <v>45.220459339114129</v>
      </c>
      <c r="I22" s="111">
        <f t="shared" si="1"/>
        <v>180.88183735645651</v>
      </c>
      <c r="J22" s="111">
        <f t="shared" si="3"/>
        <v>180.88183735645651</v>
      </c>
      <c r="K22" s="112"/>
      <c r="L22" s="110">
        <f t="shared" si="2"/>
        <v>225.72183735645652</v>
      </c>
      <c r="Q22" t="s">
        <v>106</v>
      </c>
      <c r="R22" s="110">
        <f>'Company definition'!F84</f>
        <v>42.159269173306768</v>
      </c>
    </row>
    <row r="23" spans="1:18" x14ac:dyDescent="0.3">
      <c r="A23" s="5"/>
      <c r="B23" s="6" t="s">
        <v>14</v>
      </c>
      <c r="C23" s="6"/>
      <c r="D23" s="1" t="s">
        <v>40</v>
      </c>
      <c r="E23" t="s">
        <v>106</v>
      </c>
      <c r="F23">
        <v>1</v>
      </c>
      <c r="G23" t="s">
        <v>103</v>
      </c>
      <c r="H23" s="111">
        <f t="shared" si="0"/>
        <v>42.159269173306768</v>
      </c>
      <c r="I23" s="111">
        <f t="shared" si="1"/>
        <v>42.159269173306768</v>
      </c>
      <c r="J23" s="111">
        <f t="shared" si="3"/>
        <v>42.159269173306768</v>
      </c>
      <c r="K23" s="112"/>
      <c r="L23" s="110">
        <f t="shared" si="2"/>
        <v>53.369269173306769</v>
      </c>
      <c r="Q23" t="s">
        <v>108</v>
      </c>
      <c r="R23" s="110">
        <f>'Company definition'!F86</f>
        <v>49.154057104913683</v>
      </c>
    </row>
    <row r="24" spans="1:18" x14ac:dyDescent="0.3">
      <c r="A24" s="5"/>
      <c r="B24" s="6" t="s">
        <v>94</v>
      </c>
      <c r="C24" s="6"/>
      <c r="D24" s="1" t="s">
        <v>41</v>
      </c>
      <c r="E24" t="s">
        <v>106</v>
      </c>
      <c r="F24">
        <v>1</v>
      </c>
      <c r="G24" t="s">
        <v>103</v>
      </c>
      <c r="H24" s="111">
        <f t="shared" si="0"/>
        <v>42.159269173306768</v>
      </c>
      <c r="I24" s="111">
        <f t="shared" si="1"/>
        <v>42.159269173306768</v>
      </c>
      <c r="J24" s="111">
        <f t="shared" si="3"/>
        <v>42.159269173306768</v>
      </c>
      <c r="K24" s="112"/>
      <c r="L24" s="110">
        <f t="shared" si="2"/>
        <v>53.369269173306769</v>
      </c>
      <c r="Q24" t="s">
        <v>109</v>
      </c>
      <c r="R24" s="110">
        <f>'Company definition'!F87</f>
        <v>43.846666276072185</v>
      </c>
    </row>
    <row r="25" spans="1:18" x14ac:dyDescent="0.3">
      <c r="A25" s="5"/>
      <c r="B25" s="6" t="s">
        <v>95</v>
      </c>
      <c r="C25" s="6"/>
      <c r="D25" s="1" t="s">
        <v>42</v>
      </c>
      <c r="E25" t="s">
        <v>106</v>
      </c>
      <c r="F25">
        <v>2</v>
      </c>
      <c r="G25" t="s">
        <v>103</v>
      </c>
      <c r="H25" s="111">
        <f t="shared" si="0"/>
        <v>42.159269173306768</v>
      </c>
      <c r="I25" s="111">
        <f t="shared" si="1"/>
        <v>84.318538346613536</v>
      </c>
      <c r="J25" s="111">
        <f t="shared" si="3"/>
        <v>84.318538346613536</v>
      </c>
      <c r="K25" s="112"/>
      <c r="L25" s="110">
        <f t="shared" si="2"/>
        <v>106.73853834661354</v>
      </c>
      <c r="Q25" t="s">
        <v>110</v>
      </c>
      <c r="R25" s="110">
        <f>'Company definition'!F88</f>
        <v>38.551814171883898</v>
      </c>
    </row>
    <row r="26" spans="1:18" x14ac:dyDescent="0.3">
      <c r="A26" s="5"/>
      <c r="B26" s="6" t="s">
        <v>96</v>
      </c>
      <c r="C26" s="6"/>
      <c r="D26" s="1" t="s">
        <v>43</v>
      </c>
      <c r="E26" t="s">
        <v>107</v>
      </c>
      <c r="F26">
        <v>6</v>
      </c>
      <c r="G26" t="s">
        <v>103</v>
      </c>
      <c r="H26" s="111">
        <f t="shared" si="0"/>
        <v>45.220459339114129</v>
      </c>
      <c r="I26" s="111">
        <f t="shared" si="1"/>
        <v>271.32275603468474</v>
      </c>
      <c r="J26" s="111">
        <f t="shared" si="3"/>
        <v>271.32275603468474</v>
      </c>
      <c r="K26" s="112"/>
      <c r="L26" s="110">
        <f t="shared" si="2"/>
        <v>338.58275603468473</v>
      </c>
    </row>
    <row r="27" spans="1:18" x14ac:dyDescent="0.3">
      <c r="A27" s="5"/>
      <c r="B27" s="6" t="s">
        <v>97</v>
      </c>
      <c r="C27" s="6"/>
      <c r="D27" s="1" t="s">
        <v>44</v>
      </c>
      <c r="E27" t="s">
        <v>106</v>
      </c>
      <c r="F27">
        <v>22</v>
      </c>
      <c r="G27" t="s">
        <v>103</v>
      </c>
      <c r="H27" s="111">
        <f t="shared" si="0"/>
        <v>42.159269173306768</v>
      </c>
      <c r="I27" s="111">
        <f t="shared" si="1"/>
        <v>927.5039218127489</v>
      </c>
      <c r="J27" s="111">
        <f t="shared" si="3"/>
        <v>927.5039218127489</v>
      </c>
      <c r="K27" s="112"/>
      <c r="L27" s="110">
        <f t="shared" si="2"/>
        <v>1174.1239218127489</v>
      </c>
    </row>
    <row r="28" spans="1:18" x14ac:dyDescent="0.3">
      <c r="A28" s="5"/>
      <c r="B28" s="6" t="s">
        <v>98</v>
      </c>
      <c r="C28" s="6"/>
      <c r="D28" s="1" t="s">
        <v>45</v>
      </c>
      <c r="E28" t="s">
        <v>106</v>
      </c>
      <c r="F28">
        <v>8</v>
      </c>
      <c r="G28" t="s">
        <v>103</v>
      </c>
      <c r="H28" s="111">
        <f t="shared" si="0"/>
        <v>42.159269173306768</v>
      </c>
      <c r="I28" s="111">
        <f t="shared" si="1"/>
        <v>337.27415338645415</v>
      </c>
      <c r="J28" s="111">
        <f t="shared" si="3"/>
        <v>337.27415338645415</v>
      </c>
      <c r="K28" s="112"/>
      <c r="L28" s="110">
        <f t="shared" si="2"/>
        <v>426.95415338645415</v>
      </c>
    </row>
    <row r="29" spans="1:18" x14ac:dyDescent="0.3">
      <c r="A29" s="5"/>
      <c r="B29" s="6" t="s">
        <v>99</v>
      </c>
      <c r="C29" s="6"/>
      <c r="D29" s="1" t="s">
        <v>46</v>
      </c>
      <c r="E29" t="s">
        <v>106</v>
      </c>
      <c r="F29">
        <v>4</v>
      </c>
      <c r="G29" t="s">
        <v>103</v>
      </c>
      <c r="H29" s="111">
        <f t="shared" si="0"/>
        <v>42.159269173306768</v>
      </c>
      <c r="I29" s="111">
        <f t="shared" si="1"/>
        <v>168.63707669322707</v>
      </c>
      <c r="J29" s="111">
        <f t="shared" si="3"/>
        <v>168.63707669322707</v>
      </c>
      <c r="K29" s="112"/>
      <c r="L29" s="110">
        <f t="shared" si="2"/>
        <v>213.47707669322708</v>
      </c>
    </row>
    <row r="30" spans="1:18" x14ac:dyDescent="0.3">
      <c r="A30" s="5"/>
      <c r="B30" s="6" t="s">
        <v>100</v>
      </c>
      <c r="C30" s="6"/>
      <c r="D30" s="1" t="s">
        <v>47</v>
      </c>
      <c r="E30" t="s">
        <v>106</v>
      </c>
      <c r="F30">
        <v>8</v>
      </c>
      <c r="G30" t="s">
        <v>103</v>
      </c>
      <c r="H30" s="111">
        <f t="shared" si="0"/>
        <v>42.159269173306768</v>
      </c>
      <c r="I30" s="111">
        <f t="shared" si="1"/>
        <v>337.27415338645415</v>
      </c>
      <c r="J30" s="111">
        <f t="shared" si="3"/>
        <v>337.27415338645415</v>
      </c>
      <c r="K30" s="112"/>
      <c r="L30" s="110">
        <f t="shared" si="2"/>
        <v>426.95415338645415</v>
      </c>
    </row>
    <row r="31" spans="1:18" x14ac:dyDescent="0.3">
      <c r="A31" s="5" t="s">
        <v>9</v>
      </c>
      <c r="B31" s="6"/>
      <c r="C31" s="6"/>
      <c r="D31" s="7" t="s">
        <v>48</v>
      </c>
      <c r="H31" s="111" t="str">
        <f t="shared" si="0"/>
        <v/>
      </c>
      <c r="I31" s="111" t="str">
        <f t="shared" si="1"/>
        <v/>
      </c>
      <c r="J31" s="111"/>
      <c r="K31" s="112">
        <f>SUM(J32:J38)</f>
        <v>2361.0626646076757</v>
      </c>
      <c r="L31" s="110" t="str">
        <f t="shared" si="2"/>
        <v/>
      </c>
    </row>
    <row r="32" spans="1:18" x14ac:dyDescent="0.3">
      <c r="A32" s="5"/>
      <c r="B32" s="6" t="s">
        <v>7</v>
      </c>
      <c r="C32" s="6"/>
      <c r="D32" s="1" t="s">
        <v>49</v>
      </c>
      <c r="E32" t="s">
        <v>108</v>
      </c>
      <c r="F32">
        <v>10</v>
      </c>
      <c r="G32" t="s">
        <v>103</v>
      </c>
      <c r="H32" s="111">
        <f t="shared" si="0"/>
        <v>49.154057104913683</v>
      </c>
      <c r="I32" s="111">
        <f t="shared" si="1"/>
        <v>491.54057104913682</v>
      </c>
      <c r="J32" s="111">
        <f t="shared" ref="J32:J38" si="4">I32</f>
        <v>491.54057104913682</v>
      </c>
      <c r="K32" s="112"/>
      <c r="L32" s="110">
        <f t="shared" si="2"/>
        <v>603.64057104913684</v>
      </c>
    </row>
    <row r="33" spans="1:12" x14ac:dyDescent="0.3">
      <c r="A33" s="5"/>
      <c r="B33" s="6" t="s">
        <v>13</v>
      </c>
      <c r="C33" s="6"/>
      <c r="D33" s="1" t="s">
        <v>50</v>
      </c>
      <c r="E33" t="s">
        <v>110</v>
      </c>
      <c r="F33">
        <v>3</v>
      </c>
      <c r="G33" t="s">
        <v>103</v>
      </c>
      <c r="H33" s="111">
        <f t="shared" si="0"/>
        <v>38.551814171883898</v>
      </c>
      <c r="I33" s="111">
        <f t="shared" si="1"/>
        <v>115.65544251565169</v>
      </c>
      <c r="J33" s="111">
        <f t="shared" si="4"/>
        <v>115.65544251565169</v>
      </c>
      <c r="K33" s="112"/>
      <c r="L33" s="110">
        <f t="shared" si="2"/>
        <v>149.28544251565168</v>
      </c>
    </row>
    <row r="34" spans="1:12" x14ac:dyDescent="0.3">
      <c r="A34" s="5"/>
      <c r="B34" s="6" t="s">
        <v>14</v>
      </c>
      <c r="C34" s="6"/>
      <c r="D34" s="1" t="s">
        <v>51</v>
      </c>
      <c r="E34" t="s">
        <v>109</v>
      </c>
      <c r="F34">
        <v>8</v>
      </c>
      <c r="G34" t="s">
        <v>103</v>
      </c>
      <c r="H34" s="111">
        <f t="shared" si="0"/>
        <v>43.846666276072185</v>
      </c>
      <c r="I34" s="111">
        <f t="shared" si="1"/>
        <v>350.77333020857748</v>
      </c>
      <c r="J34" s="111">
        <f t="shared" si="4"/>
        <v>350.77333020857748</v>
      </c>
      <c r="K34" s="112"/>
      <c r="L34" s="110">
        <f t="shared" si="2"/>
        <v>440.45333020857748</v>
      </c>
    </row>
    <row r="35" spans="1:12" x14ac:dyDescent="0.3">
      <c r="A35" s="5"/>
      <c r="B35" s="6" t="s">
        <v>94</v>
      </c>
      <c r="C35" s="6"/>
      <c r="D35" s="1" t="s">
        <v>52</v>
      </c>
      <c r="E35" t="s">
        <v>109</v>
      </c>
      <c r="F35">
        <v>4</v>
      </c>
      <c r="G35" t="s">
        <v>103</v>
      </c>
      <c r="H35" s="111">
        <f t="shared" si="0"/>
        <v>43.846666276072185</v>
      </c>
      <c r="I35" s="111">
        <f t="shared" si="1"/>
        <v>175.38666510428874</v>
      </c>
      <c r="J35" s="111">
        <f t="shared" si="4"/>
        <v>175.38666510428874</v>
      </c>
      <c r="K35" s="112"/>
      <c r="L35" s="110">
        <f t="shared" si="2"/>
        <v>220.22666510428874</v>
      </c>
    </row>
    <row r="36" spans="1:12" x14ac:dyDescent="0.3">
      <c r="A36" s="5"/>
      <c r="B36" s="6" t="s">
        <v>95</v>
      </c>
      <c r="C36" s="6"/>
      <c r="D36" s="1" t="s">
        <v>53</v>
      </c>
      <c r="E36" t="s">
        <v>109</v>
      </c>
      <c r="F36">
        <v>6</v>
      </c>
      <c r="G36" t="s">
        <v>103</v>
      </c>
      <c r="H36" s="111">
        <f t="shared" si="0"/>
        <v>43.846666276072185</v>
      </c>
      <c r="I36" s="111">
        <f t="shared" si="1"/>
        <v>263.07999765643308</v>
      </c>
      <c r="J36" s="111">
        <f t="shared" si="4"/>
        <v>263.07999765643308</v>
      </c>
      <c r="K36" s="112"/>
      <c r="L36" s="110">
        <f t="shared" si="2"/>
        <v>330.33999765643307</v>
      </c>
    </row>
    <row r="37" spans="1:12" x14ac:dyDescent="0.3">
      <c r="A37" s="5"/>
      <c r="B37" s="6" t="s">
        <v>96</v>
      </c>
      <c r="C37" s="6"/>
      <c r="D37" s="1" t="s">
        <v>54</v>
      </c>
      <c r="E37" t="s">
        <v>109</v>
      </c>
      <c r="F37">
        <v>12</v>
      </c>
      <c r="G37" t="s">
        <v>103</v>
      </c>
      <c r="H37" s="111">
        <f t="shared" si="0"/>
        <v>43.846666276072185</v>
      </c>
      <c r="I37" s="111">
        <f t="shared" si="1"/>
        <v>526.15999531286616</v>
      </c>
      <c r="J37" s="111">
        <f t="shared" si="4"/>
        <v>526.15999531286616</v>
      </c>
      <c r="K37" s="112"/>
      <c r="L37" s="110">
        <f t="shared" si="2"/>
        <v>660.67999531286614</v>
      </c>
    </row>
    <row r="38" spans="1:12" x14ac:dyDescent="0.3">
      <c r="A38" s="5"/>
      <c r="B38" s="6" t="s">
        <v>97</v>
      </c>
      <c r="C38" s="6"/>
      <c r="D38" s="1" t="s">
        <v>194</v>
      </c>
      <c r="E38" t="s">
        <v>109</v>
      </c>
      <c r="F38">
        <v>10</v>
      </c>
      <c r="G38" t="s">
        <v>103</v>
      </c>
      <c r="H38" s="111">
        <f t="shared" si="0"/>
        <v>43.846666276072185</v>
      </c>
      <c r="I38" s="111">
        <f t="shared" si="1"/>
        <v>438.46666276072187</v>
      </c>
      <c r="J38" s="111">
        <f t="shared" si="4"/>
        <v>438.46666276072187</v>
      </c>
      <c r="K38" s="112"/>
      <c r="L38" s="110">
        <f t="shared" si="2"/>
        <v>550.5666627607219</v>
      </c>
    </row>
    <row r="39" spans="1:12" x14ac:dyDescent="0.3">
      <c r="A39" s="5" t="s">
        <v>10</v>
      </c>
      <c r="B39" s="6"/>
      <c r="C39" s="6"/>
      <c r="D39" s="7" t="s">
        <v>55</v>
      </c>
      <c r="E39" t="s">
        <v>109</v>
      </c>
      <c r="F39">
        <v>6</v>
      </c>
      <c r="G39" t="s">
        <v>103</v>
      </c>
      <c r="H39" s="111">
        <f t="shared" si="0"/>
        <v>43.846666276072185</v>
      </c>
      <c r="I39" s="111">
        <f t="shared" si="1"/>
        <v>263.07999765643308</v>
      </c>
      <c r="J39" s="111">
        <f>SUM(I39)</f>
        <v>263.07999765643308</v>
      </c>
      <c r="K39" s="111">
        <f>SUM(J39)</f>
        <v>263.07999765643308</v>
      </c>
      <c r="L39" s="110">
        <f t="shared" si="2"/>
        <v>330.33999765643307</v>
      </c>
    </row>
    <row r="40" spans="1:12" x14ac:dyDescent="0.3">
      <c r="A40" s="5" t="s">
        <v>11</v>
      </c>
      <c r="B40" s="6"/>
      <c r="C40" s="6"/>
      <c r="D40" s="7" t="s">
        <v>56</v>
      </c>
      <c r="H40" s="111" t="str">
        <f t="shared" si="0"/>
        <v/>
      </c>
      <c r="I40" s="111" t="str">
        <f t="shared" si="1"/>
        <v/>
      </c>
      <c r="J40" s="111"/>
      <c r="K40" s="112">
        <f>SUM(J41:J50)</f>
        <v>4485.1818305489533</v>
      </c>
      <c r="L40" s="110" t="str">
        <f t="shared" si="2"/>
        <v/>
      </c>
    </row>
    <row r="41" spans="1:12" x14ac:dyDescent="0.3">
      <c r="A41" s="5"/>
      <c r="B41" s="6" t="s">
        <v>7</v>
      </c>
      <c r="C41" s="6"/>
      <c r="D41" s="1" t="s">
        <v>57</v>
      </c>
      <c r="E41" t="s">
        <v>108</v>
      </c>
      <c r="F41">
        <v>6</v>
      </c>
      <c r="G41" t="s">
        <v>103</v>
      </c>
      <c r="H41" s="111">
        <f t="shared" si="0"/>
        <v>49.154057104913683</v>
      </c>
      <c r="I41" s="111">
        <f t="shared" si="1"/>
        <v>294.92434262948211</v>
      </c>
      <c r="J41" s="111">
        <f>I41</f>
        <v>294.92434262948211</v>
      </c>
      <c r="K41" s="112"/>
      <c r="L41" s="110">
        <f t="shared" si="2"/>
        <v>362.1843426294821</v>
      </c>
    </row>
    <row r="42" spans="1:12" x14ac:dyDescent="0.3">
      <c r="A42" s="5"/>
      <c r="B42" s="6" t="s">
        <v>13</v>
      </c>
      <c r="C42" s="6"/>
      <c r="D42" s="1" t="s">
        <v>58</v>
      </c>
      <c r="E42" t="s">
        <v>108</v>
      </c>
      <c r="F42">
        <v>1</v>
      </c>
      <c r="G42" t="s">
        <v>103</v>
      </c>
      <c r="H42" s="111">
        <f t="shared" si="0"/>
        <v>49.154057104913683</v>
      </c>
      <c r="I42" s="111">
        <f t="shared" si="1"/>
        <v>49.154057104913683</v>
      </c>
      <c r="J42" s="111">
        <f>I42</f>
        <v>49.154057104913683</v>
      </c>
      <c r="K42" s="112"/>
      <c r="L42" s="110">
        <f t="shared" si="2"/>
        <v>60.364057104913684</v>
      </c>
    </row>
    <row r="43" spans="1:12" x14ac:dyDescent="0.3">
      <c r="A43" s="5"/>
      <c r="B43" s="6" t="s">
        <v>14</v>
      </c>
      <c r="C43" s="6"/>
      <c r="D43" s="1" t="s">
        <v>59</v>
      </c>
      <c r="H43" s="111" t="str">
        <f t="shared" si="0"/>
        <v/>
      </c>
      <c r="I43" s="111" t="str">
        <f t="shared" si="1"/>
        <v/>
      </c>
      <c r="J43" s="111">
        <f>SUM(I44:I50)</f>
        <v>4141.1034308145572</v>
      </c>
      <c r="K43" s="112"/>
      <c r="L43" s="110" t="str">
        <f t="shared" si="2"/>
        <v/>
      </c>
    </row>
    <row r="44" spans="1:12" x14ac:dyDescent="0.3">
      <c r="A44" s="5"/>
      <c r="B44" s="6"/>
      <c r="C44" s="6" t="s">
        <v>6</v>
      </c>
      <c r="D44" s="1" t="s">
        <v>60</v>
      </c>
      <c r="E44" t="s">
        <v>110</v>
      </c>
      <c r="F44">
        <v>22</v>
      </c>
      <c r="G44" t="s">
        <v>103</v>
      </c>
      <c r="H44" s="111">
        <f t="shared" si="0"/>
        <v>38.551814171883898</v>
      </c>
      <c r="I44" s="111">
        <f t="shared" si="1"/>
        <v>848.13991178144579</v>
      </c>
      <c r="J44" s="111"/>
      <c r="K44" s="112"/>
      <c r="L44" s="110">
        <f t="shared" si="2"/>
        <v>1094.7599117814457</v>
      </c>
    </row>
    <row r="45" spans="1:12" ht="28.8" x14ac:dyDescent="0.3">
      <c r="A45" s="5"/>
      <c r="B45" s="6"/>
      <c r="C45" s="6" t="s">
        <v>8</v>
      </c>
      <c r="D45" s="1" t="s">
        <v>61</v>
      </c>
      <c r="E45" t="s">
        <v>110</v>
      </c>
      <c r="F45">
        <v>6</v>
      </c>
      <c r="G45" t="s">
        <v>103</v>
      </c>
      <c r="H45" s="111">
        <f t="shared" si="0"/>
        <v>38.551814171883898</v>
      </c>
      <c r="I45" s="111">
        <f t="shared" si="1"/>
        <v>231.31088503130337</v>
      </c>
      <c r="J45" s="111"/>
      <c r="K45" s="112"/>
      <c r="L45" s="110">
        <f t="shared" si="2"/>
        <v>298.57088503130336</v>
      </c>
    </row>
    <row r="46" spans="1:12" ht="28.8" x14ac:dyDescent="0.3">
      <c r="A46" s="5"/>
      <c r="B46" s="6"/>
      <c r="C46" s="6" t="s">
        <v>9</v>
      </c>
      <c r="D46" s="1" t="s">
        <v>62</v>
      </c>
      <c r="E46" t="s">
        <v>109</v>
      </c>
      <c r="F46">
        <v>24</v>
      </c>
      <c r="G46" t="s">
        <v>103</v>
      </c>
      <c r="H46" s="111">
        <f t="shared" si="0"/>
        <v>43.846666276072185</v>
      </c>
      <c r="I46" s="111">
        <f t="shared" si="1"/>
        <v>1052.3199906257323</v>
      </c>
      <c r="J46" s="111"/>
      <c r="K46" s="112"/>
      <c r="L46" s="110">
        <f t="shared" si="2"/>
        <v>1321.3599906257323</v>
      </c>
    </row>
    <row r="47" spans="1:12" x14ac:dyDescent="0.3">
      <c r="A47" s="5"/>
      <c r="B47" s="6"/>
      <c r="C47" s="6" t="s">
        <v>10</v>
      </c>
      <c r="D47" s="1" t="s">
        <v>63</v>
      </c>
      <c r="E47" t="s">
        <v>110</v>
      </c>
      <c r="F47">
        <v>12</v>
      </c>
      <c r="G47" t="s">
        <v>103</v>
      </c>
      <c r="H47" s="111">
        <f t="shared" si="0"/>
        <v>38.551814171883898</v>
      </c>
      <c r="I47" s="111">
        <f t="shared" si="1"/>
        <v>462.62177006260674</v>
      </c>
      <c r="J47" s="111"/>
      <c r="K47" s="112"/>
      <c r="L47" s="110">
        <f t="shared" si="2"/>
        <v>597.14177006260672</v>
      </c>
    </row>
    <row r="48" spans="1:12" x14ac:dyDescent="0.3">
      <c r="A48" s="5"/>
      <c r="B48" s="6"/>
      <c r="C48" s="6" t="s">
        <v>11</v>
      </c>
      <c r="D48" s="1" t="s">
        <v>195</v>
      </c>
      <c r="E48" t="s">
        <v>109</v>
      </c>
      <c r="F48">
        <v>20</v>
      </c>
      <c r="G48" t="s">
        <v>103</v>
      </c>
      <c r="H48" s="111">
        <f t="shared" si="0"/>
        <v>43.846666276072185</v>
      </c>
      <c r="I48" s="111">
        <f t="shared" si="1"/>
        <v>876.93332552144375</v>
      </c>
      <c r="J48" s="111"/>
      <c r="K48" s="112"/>
      <c r="L48" s="110">
        <f t="shared" si="2"/>
        <v>1101.1333255214438</v>
      </c>
    </row>
    <row r="49" spans="1:12" x14ac:dyDescent="0.3">
      <c r="A49" s="5"/>
      <c r="B49" s="6"/>
      <c r="C49" s="6" t="s">
        <v>12</v>
      </c>
      <c r="D49" s="1" t="s">
        <v>64</v>
      </c>
      <c r="E49" t="s">
        <v>109</v>
      </c>
      <c r="F49">
        <v>10</v>
      </c>
      <c r="G49" t="s">
        <v>103</v>
      </c>
      <c r="H49" s="111">
        <f t="shared" si="0"/>
        <v>43.846666276072185</v>
      </c>
      <c r="I49" s="111">
        <f t="shared" si="1"/>
        <v>438.46666276072187</v>
      </c>
      <c r="J49" s="111"/>
      <c r="K49" s="112"/>
      <c r="L49" s="110">
        <f t="shared" si="2"/>
        <v>550.5666627607219</v>
      </c>
    </row>
    <row r="50" spans="1:12" x14ac:dyDescent="0.3">
      <c r="A50" s="5"/>
      <c r="B50" s="6"/>
      <c r="C50" s="6" t="s">
        <v>87</v>
      </c>
      <c r="D50" s="1" t="s">
        <v>65</v>
      </c>
      <c r="E50" t="s">
        <v>110</v>
      </c>
      <c r="F50">
        <v>6</v>
      </c>
      <c r="G50" t="s">
        <v>103</v>
      </c>
      <c r="H50" s="111">
        <f t="shared" si="0"/>
        <v>38.551814171883898</v>
      </c>
      <c r="I50" s="111">
        <f t="shared" si="1"/>
        <v>231.31088503130337</v>
      </c>
      <c r="J50" s="111"/>
      <c r="K50" s="112"/>
      <c r="L50" s="110">
        <f t="shared" si="2"/>
        <v>298.57088503130336</v>
      </c>
    </row>
    <row r="51" spans="1:12" x14ac:dyDescent="0.3">
      <c r="A51" s="5" t="s">
        <v>12</v>
      </c>
      <c r="B51" s="6"/>
      <c r="C51" s="6"/>
      <c r="D51" s="7" t="s">
        <v>66</v>
      </c>
      <c r="H51" s="111" t="str">
        <f t="shared" si="0"/>
        <v/>
      </c>
      <c r="I51" s="111" t="str">
        <f t="shared" si="1"/>
        <v/>
      </c>
      <c r="J51" s="111"/>
      <c r="K51" s="112">
        <f>SUM(J52:J60)</f>
        <v>1359.9032002243127</v>
      </c>
      <c r="L51" s="110" t="str">
        <f t="shared" si="2"/>
        <v/>
      </c>
    </row>
    <row r="52" spans="1:12" x14ac:dyDescent="0.3">
      <c r="A52" s="5"/>
      <c r="B52" s="6" t="s">
        <v>7</v>
      </c>
      <c r="C52" s="6"/>
      <c r="D52" s="1" t="s">
        <v>67</v>
      </c>
      <c r="E52" t="s">
        <v>110</v>
      </c>
      <c r="F52">
        <v>6</v>
      </c>
      <c r="G52" t="s">
        <v>103</v>
      </c>
      <c r="H52" s="111">
        <f t="shared" si="0"/>
        <v>38.551814171883898</v>
      </c>
      <c r="I52" s="111">
        <f t="shared" si="1"/>
        <v>231.31088503130337</v>
      </c>
      <c r="J52" s="111">
        <f t="shared" ref="J52:J60" si="5">I52</f>
        <v>231.31088503130337</v>
      </c>
      <c r="K52" s="112"/>
      <c r="L52" s="110">
        <f t="shared" si="2"/>
        <v>298.57088503130336</v>
      </c>
    </row>
    <row r="53" spans="1:12" x14ac:dyDescent="0.3">
      <c r="A53" s="5"/>
      <c r="B53" s="6" t="s">
        <v>13</v>
      </c>
      <c r="C53" s="6"/>
      <c r="D53" s="1" t="s">
        <v>68</v>
      </c>
      <c r="E53" t="s">
        <v>110</v>
      </c>
      <c r="F53">
        <v>4</v>
      </c>
      <c r="G53" t="s">
        <v>103</v>
      </c>
      <c r="H53" s="111">
        <f t="shared" si="0"/>
        <v>38.551814171883898</v>
      </c>
      <c r="I53" s="111">
        <f t="shared" si="1"/>
        <v>154.20725668753559</v>
      </c>
      <c r="J53" s="111">
        <f t="shared" si="5"/>
        <v>154.20725668753559</v>
      </c>
      <c r="K53" s="112"/>
      <c r="L53" s="110">
        <f t="shared" si="2"/>
        <v>199.04725668753559</v>
      </c>
    </row>
    <row r="54" spans="1:12" x14ac:dyDescent="0.3">
      <c r="A54" s="5"/>
      <c r="B54" s="6" t="s">
        <v>14</v>
      </c>
      <c r="C54" s="6"/>
      <c r="D54" s="1" t="s">
        <v>69</v>
      </c>
      <c r="E54" t="s">
        <v>110</v>
      </c>
      <c r="F54">
        <v>5</v>
      </c>
      <c r="G54" t="s">
        <v>103</v>
      </c>
      <c r="H54" s="111">
        <f t="shared" si="0"/>
        <v>38.551814171883898</v>
      </c>
      <c r="I54" s="111">
        <f t="shared" si="1"/>
        <v>192.7590708594195</v>
      </c>
      <c r="J54" s="111">
        <f t="shared" si="5"/>
        <v>192.7590708594195</v>
      </c>
      <c r="K54" s="112"/>
      <c r="L54" s="110">
        <f t="shared" si="2"/>
        <v>248.80907085941948</v>
      </c>
    </row>
    <row r="55" spans="1:12" x14ac:dyDescent="0.3">
      <c r="A55" s="5"/>
      <c r="B55" s="6" t="s">
        <v>94</v>
      </c>
      <c r="C55" s="6"/>
      <c r="D55" s="1" t="s">
        <v>70</v>
      </c>
      <c r="E55" t="s">
        <v>110</v>
      </c>
      <c r="F55">
        <v>3</v>
      </c>
      <c r="G55" t="s">
        <v>103</v>
      </c>
      <c r="H55" s="111">
        <f t="shared" si="0"/>
        <v>38.551814171883898</v>
      </c>
      <c r="I55" s="111">
        <f t="shared" si="1"/>
        <v>115.65544251565169</v>
      </c>
      <c r="J55" s="111">
        <f t="shared" si="5"/>
        <v>115.65544251565169</v>
      </c>
      <c r="K55" s="112"/>
      <c r="L55" s="110">
        <f t="shared" si="2"/>
        <v>149.28544251565168</v>
      </c>
    </row>
    <row r="56" spans="1:12" x14ac:dyDescent="0.3">
      <c r="A56" s="5"/>
      <c r="B56" s="6" t="s">
        <v>95</v>
      </c>
      <c r="C56" s="6"/>
      <c r="D56" s="1" t="s">
        <v>196</v>
      </c>
      <c r="E56" t="s">
        <v>110</v>
      </c>
      <c r="F56">
        <v>4</v>
      </c>
      <c r="G56" t="s">
        <v>103</v>
      </c>
      <c r="H56" s="111">
        <f t="shared" si="0"/>
        <v>38.551814171883898</v>
      </c>
      <c r="I56" s="111">
        <f t="shared" si="1"/>
        <v>154.20725668753559</v>
      </c>
      <c r="J56" s="111">
        <f t="shared" si="5"/>
        <v>154.20725668753559</v>
      </c>
      <c r="K56" s="112"/>
      <c r="L56" s="110">
        <f t="shared" si="2"/>
        <v>199.04725668753559</v>
      </c>
    </row>
    <row r="57" spans="1:12" x14ac:dyDescent="0.3">
      <c r="A57" s="5"/>
      <c r="B57" s="6" t="s">
        <v>96</v>
      </c>
      <c r="C57" s="6"/>
      <c r="D57" s="1" t="s">
        <v>71</v>
      </c>
      <c r="E57" t="s">
        <v>110</v>
      </c>
      <c r="F57">
        <v>5</v>
      </c>
      <c r="G57" t="s">
        <v>103</v>
      </c>
      <c r="H57" s="111">
        <f t="shared" si="0"/>
        <v>38.551814171883898</v>
      </c>
      <c r="I57" s="111">
        <f t="shared" si="1"/>
        <v>192.7590708594195</v>
      </c>
      <c r="J57" s="111">
        <f t="shared" si="5"/>
        <v>192.7590708594195</v>
      </c>
      <c r="K57" s="112"/>
      <c r="L57" s="110">
        <f t="shared" si="2"/>
        <v>248.80907085941948</v>
      </c>
    </row>
    <row r="58" spans="1:12" x14ac:dyDescent="0.3">
      <c r="A58" s="5"/>
      <c r="B58" s="6" t="s">
        <v>97</v>
      </c>
      <c r="C58" s="6"/>
      <c r="D58" s="1" t="s">
        <v>72</v>
      </c>
      <c r="E58" t="s">
        <v>110</v>
      </c>
      <c r="F58">
        <v>3</v>
      </c>
      <c r="G58" t="s">
        <v>103</v>
      </c>
      <c r="H58" s="111">
        <f t="shared" si="0"/>
        <v>38.551814171883898</v>
      </c>
      <c r="I58" s="111">
        <f t="shared" si="1"/>
        <v>115.65544251565169</v>
      </c>
      <c r="J58" s="111">
        <f t="shared" si="5"/>
        <v>115.65544251565169</v>
      </c>
      <c r="K58" s="112"/>
      <c r="L58" s="110">
        <f t="shared" si="2"/>
        <v>149.28544251565168</v>
      </c>
    </row>
    <row r="59" spans="1:12" x14ac:dyDescent="0.3">
      <c r="A59" s="5"/>
      <c r="B59" s="6" t="s">
        <v>98</v>
      </c>
      <c r="C59" s="6"/>
      <c r="D59" s="1" t="s">
        <v>193</v>
      </c>
      <c r="E59" t="s">
        <v>110</v>
      </c>
      <c r="F59">
        <v>3</v>
      </c>
      <c r="G59" t="s">
        <v>103</v>
      </c>
      <c r="H59" s="111">
        <f t="shared" si="0"/>
        <v>38.551814171883898</v>
      </c>
      <c r="I59" s="111">
        <f t="shared" si="1"/>
        <v>115.65544251565169</v>
      </c>
      <c r="J59" s="111">
        <f t="shared" si="5"/>
        <v>115.65544251565169</v>
      </c>
      <c r="K59" s="112"/>
      <c r="L59" s="110">
        <f t="shared" si="2"/>
        <v>149.28544251565168</v>
      </c>
    </row>
    <row r="60" spans="1:12" x14ac:dyDescent="0.3">
      <c r="A60" s="5"/>
      <c r="B60" s="6" t="s">
        <v>99</v>
      </c>
      <c r="C60" s="6"/>
      <c r="D60" s="1" t="s">
        <v>73</v>
      </c>
      <c r="E60" t="s">
        <v>109</v>
      </c>
      <c r="F60">
        <v>2</v>
      </c>
      <c r="G60" t="s">
        <v>103</v>
      </c>
      <c r="H60" s="111">
        <f t="shared" si="0"/>
        <v>43.846666276072185</v>
      </c>
      <c r="I60" s="111">
        <f t="shared" si="1"/>
        <v>87.693332552144369</v>
      </c>
      <c r="J60" s="111">
        <f t="shared" si="5"/>
        <v>87.693332552144369</v>
      </c>
      <c r="K60" s="112"/>
      <c r="L60" s="110">
        <f t="shared" si="2"/>
        <v>110.11333255214437</v>
      </c>
    </row>
    <row r="61" spans="1:12" x14ac:dyDescent="0.3">
      <c r="A61" s="5" t="s">
        <v>87</v>
      </c>
      <c r="B61" s="6"/>
      <c r="C61" s="6"/>
      <c r="D61" s="7" t="s">
        <v>74</v>
      </c>
      <c r="H61" s="111" t="str">
        <f t="shared" si="0"/>
        <v/>
      </c>
      <c r="I61" s="111" t="str">
        <f t="shared" si="1"/>
        <v/>
      </c>
      <c r="J61" s="111"/>
      <c r="K61" s="112">
        <f>SUM(J62:J73)</f>
        <v>1285.9236266810587</v>
      </c>
      <c r="L61" s="110" t="str">
        <f t="shared" si="2"/>
        <v/>
      </c>
    </row>
    <row r="62" spans="1:12" ht="28.8" x14ac:dyDescent="0.3">
      <c r="A62" s="5"/>
      <c r="B62" s="6" t="s">
        <v>7</v>
      </c>
      <c r="C62" s="6"/>
      <c r="D62" s="1" t="s">
        <v>75</v>
      </c>
      <c r="E62" t="s">
        <v>104</v>
      </c>
      <c r="F62">
        <v>1</v>
      </c>
      <c r="G62" t="s">
        <v>103</v>
      </c>
      <c r="H62" s="111">
        <f t="shared" si="0"/>
        <v>49.782125344774748</v>
      </c>
      <c r="I62" s="111">
        <f t="shared" si="1"/>
        <v>49.782125344774748</v>
      </c>
      <c r="J62" s="111">
        <f t="shared" ref="J62:J73" si="6">I62</f>
        <v>49.782125344774748</v>
      </c>
      <c r="K62" s="112"/>
      <c r="L62" s="110">
        <f t="shared" si="2"/>
        <v>60.992125344774749</v>
      </c>
    </row>
    <row r="63" spans="1:12" x14ac:dyDescent="0.3">
      <c r="A63" s="5"/>
      <c r="B63" s="6" t="s">
        <v>13</v>
      </c>
      <c r="C63" s="6"/>
      <c r="D63" s="1" t="s">
        <v>76</v>
      </c>
      <c r="E63" t="s">
        <v>104</v>
      </c>
      <c r="F63">
        <v>1</v>
      </c>
      <c r="G63" t="s">
        <v>103</v>
      </c>
      <c r="H63" s="111">
        <f t="shared" si="0"/>
        <v>49.782125344774748</v>
      </c>
      <c r="I63" s="111">
        <f t="shared" si="1"/>
        <v>49.782125344774748</v>
      </c>
      <c r="J63" s="111">
        <f t="shared" si="6"/>
        <v>49.782125344774748</v>
      </c>
      <c r="K63" s="112"/>
      <c r="L63" s="110">
        <f t="shared" si="2"/>
        <v>60.992125344774749</v>
      </c>
    </row>
    <row r="64" spans="1:12" x14ac:dyDescent="0.3">
      <c r="A64" s="5"/>
      <c r="B64" s="6" t="s">
        <v>14</v>
      </c>
      <c r="C64" s="6"/>
      <c r="D64" s="1" t="s">
        <v>77</v>
      </c>
      <c r="E64" t="s">
        <v>107</v>
      </c>
      <c r="F64">
        <v>1</v>
      </c>
      <c r="G64" t="s">
        <v>103</v>
      </c>
      <c r="H64" s="111">
        <f t="shared" si="0"/>
        <v>45.220459339114129</v>
      </c>
      <c r="I64" s="111">
        <f t="shared" si="1"/>
        <v>45.220459339114129</v>
      </c>
      <c r="J64" s="111">
        <f t="shared" si="6"/>
        <v>45.220459339114129</v>
      </c>
      <c r="K64" s="112"/>
      <c r="L64" s="110">
        <f t="shared" si="2"/>
        <v>56.43045933911413</v>
      </c>
    </row>
    <row r="65" spans="1:12" ht="28.8" x14ac:dyDescent="0.3">
      <c r="A65" s="5"/>
      <c r="B65" s="6" t="s">
        <v>94</v>
      </c>
      <c r="C65" s="6"/>
      <c r="D65" s="1" t="s">
        <v>78</v>
      </c>
      <c r="E65" t="s">
        <v>107</v>
      </c>
      <c r="F65">
        <v>2</v>
      </c>
      <c r="G65" t="s">
        <v>103</v>
      </c>
      <c r="H65" s="111">
        <f t="shared" si="0"/>
        <v>45.220459339114129</v>
      </c>
      <c r="I65" s="111">
        <f t="shared" si="1"/>
        <v>90.440918678228257</v>
      </c>
      <c r="J65" s="111">
        <f t="shared" si="6"/>
        <v>90.440918678228257</v>
      </c>
      <c r="K65" s="112"/>
      <c r="L65" s="110">
        <f t="shared" si="2"/>
        <v>112.86091867822826</v>
      </c>
    </row>
    <row r="66" spans="1:12" ht="28.8" x14ac:dyDescent="0.3">
      <c r="A66" s="5"/>
      <c r="B66" s="6" t="s">
        <v>95</v>
      </c>
      <c r="C66" s="6"/>
      <c r="D66" s="1" t="s">
        <v>79</v>
      </c>
      <c r="E66" t="s">
        <v>104</v>
      </c>
      <c r="F66">
        <v>3</v>
      </c>
      <c r="G66" t="s">
        <v>103</v>
      </c>
      <c r="H66" s="111">
        <f t="shared" si="0"/>
        <v>49.782125344774748</v>
      </c>
      <c r="I66" s="111">
        <f t="shared" si="1"/>
        <v>149.34637603432424</v>
      </c>
      <c r="J66" s="111">
        <f t="shared" si="6"/>
        <v>149.34637603432424</v>
      </c>
      <c r="K66" s="112"/>
      <c r="L66" s="110">
        <f t="shared" si="2"/>
        <v>182.97637603432423</v>
      </c>
    </row>
    <row r="67" spans="1:12" x14ac:dyDescent="0.3">
      <c r="A67" s="5"/>
      <c r="B67" s="6" t="s">
        <v>96</v>
      </c>
      <c r="C67" s="6"/>
      <c r="D67" s="1" t="s">
        <v>80</v>
      </c>
      <c r="E67" t="s">
        <v>106</v>
      </c>
      <c r="F67">
        <v>2</v>
      </c>
      <c r="G67" t="s">
        <v>103</v>
      </c>
      <c r="H67" s="111">
        <f t="shared" ref="H67:H73" si="7">_xlfn.XLOOKUP(E67,$Q$20:$Q$25,$R$20:$R$25,"")</f>
        <v>42.159269173306768</v>
      </c>
      <c r="I67" s="111">
        <f t="shared" si="1"/>
        <v>84.318538346613536</v>
      </c>
      <c r="J67" s="111">
        <f t="shared" si="6"/>
        <v>84.318538346613536</v>
      </c>
      <c r="K67" s="112"/>
      <c r="L67" s="110">
        <f t="shared" si="2"/>
        <v>106.73853834661354</v>
      </c>
    </row>
    <row r="68" spans="1:12" x14ac:dyDescent="0.3">
      <c r="A68" s="5"/>
      <c r="B68" s="6" t="s">
        <v>97</v>
      </c>
      <c r="C68" s="6"/>
      <c r="D68" s="1" t="s">
        <v>81</v>
      </c>
      <c r="E68" t="s">
        <v>108</v>
      </c>
      <c r="F68">
        <v>3</v>
      </c>
      <c r="G68" t="s">
        <v>103</v>
      </c>
      <c r="H68" s="111">
        <f t="shared" si="7"/>
        <v>49.154057104913683</v>
      </c>
      <c r="I68" s="111">
        <f t="shared" ref="I68:I73" si="8">IFERROR(H68*F68,"")</f>
        <v>147.46217131474106</v>
      </c>
      <c r="J68" s="111">
        <f t="shared" si="6"/>
        <v>147.46217131474106</v>
      </c>
      <c r="K68" s="112"/>
      <c r="L68" s="110">
        <f t="shared" ref="L68:L73" si="9">IFERROR(I68+($P$10*F68),"")</f>
        <v>181.09217131474105</v>
      </c>
    </row>
    <row r="69" spans="1:12" x14ac:dyDescent="0.3">
      <c r="A69" s="5"/>
      <c r="B69" s="6" t="s">
        <v>98</v>
      </c>
      <c r="C69" s="6"/>
      <c r="D69" s="1" t="s">
        <v>82</v>
      </c>
      <c r="E69" t="s">
        <v>109</v>
      </c>
      <c r="F69">
        <v>6</v>
      </c>
      <c r="G69" t="s">
        <v>103</v>
      </c>
      <c r="H69" s="111">
        <f t="shared" si="7"/>
        <v>43.846666276072185</v>
      </c>
      <c r="I69" s="111">
        <f t="shared" si="8"/>
        <v>263.07999765643308</v>
      </c>
      <c r="J69" s="111">
        <f t="shared" si="6"/>
        <v>263.07999765643308</v>
      </c>
      <c r="K69" s="112"/>
      <c r="L69" s="110">
        <f t="shared" si="9"/>
        <v>330.33999765643307</v>
      </c>
    </row>
    <row r="70" spans="1:12" x14ac:dyDescent="0.3">
      <c r="A70" s="5"/>
      <c r="B70" s="6" t="s">
        <v>99</v>
      </c>
      <c r="C70" s="6"/>
      <c r="D70" s="1" t="s">
        <v>83</v>
      </c>
      <c r="E70" t="s">
        <v>109</v>
      </c>
      <c r="F70">
        <v>2</v>
      </c>
      <c r="G70" t="s">
        <v>103</v>
      </c>
      <c r="H70" s="111">
        <f t="shared" si="7"/>
        <v>43.846666276072185</v>
      </c>
      <c r="I70" s="111">
        <f t="shared" si="8"/>
        <v>87.693332552144369</v>
      </c>
      <c r="J70" s="111">
        <f t="shared" si="6"/>
        <v>87.693332552144369</v>
      </c>
      <c r="K70" s="112"/>
      <c r="L70" s="110">
        <f t="shared" si="9"/>
        <v>110.11333255214437</v>
      </c>
    </row>
    <row r="71" spans="1:12" x14ac:dyDescent="0.3">
      <c r="A71" s="5"/>
      <c r="B71" s="6" t="s">
        <v>100</v>
      </c>
      <c r="C71" s="6"/>
      <c r="D71" s="1" t="s">
        <v>84</v>
      </c>
      <c r="E71" t="s">
        <v>109</v>
      </c>
      <c r="F71">
        <v>5</v>
      </c>
      <c r="G71" t="s">
        <v>103</v>
      </c>
      <c r="H71" s="111">
        <f t="shared" si="7"/>
        <v>43.846666276072185</v>
      </c>
      <c r="I71" s="111">
        <f t="shared" si="8"/>
        <v>219.23333138036094</v>
      </c>
      <c r="J71" s="111">
        <f t="shared" si="6"/>
        <v>219.23333138036094</v>
      </c>
      <c r="K71" s="112"/>
      <c r="L71" s="110">
        <f t="shared" si="9"/>
        <v>275.28333138036095</v>
      </c>
    </row>
    <row r="72" spans="1:12" x14ac:dyDescent="0.3">
      <c r="A72" s="5"/>
      <c r="B72" s="6" t="s">
        <v>101</v>
      </c>
      <c r="C72" s="6"/>
      <c r="D72" s="1" t="s">
        <v>85</v>
      </c>
      <c r="E72" t="s">
        <v>104</v>
      </c>
      <c r="F72">
        <v>1</v>
      </c>
      <c r="G72" t="s">
        <v>103</v>
      </c>
      <c r="H72" s="111">
        <f t="shared" si="7"/>
        <v>49.782125344774748</v>
      </c>
      <c r="I72" s="111">
        <f t="shared" si="8"/>
        <v>49.782125344774748</v>
      </c>
      <c r="J72" s="111">
        <f t="shared" si="6"/>
        <v>49.782125344774748</v>
      </c>
      <c r="K72" s="112"/>
      <c r="L72" s="110">
        <f t="shared" si="9"/>
        <v>60.992125344774749</v>
      </c>
    </row>
    <row r="73" spans="1:12" x14ac:dyDescent="0.3">
      <c r="A73" s="8"/>
      <c r="B73" s="9" t="s">
        <v>102</v>
      </c>
      <c r="C73" s="9"/>
      <c r="D73" s="10" t="s">
        <v>86</v>
      </c>
      <c r="E73" s="11" t="s">
        <v>104</v>
      </c>
      <c r="F73" s="11">
        <v>1</v>
      </c>
      <c r="G73" s="11" t="s">
        <v>103</v>
      </c>
      <c r="H73" s="111">
        <f t="shared" si="7"/>
        <v>49.782125344774748</v>
      </c>
      <c r="I73" s="111">
        <f t="shared" si="8"/>
        <v>49.782125344774748</v>
      </c>
      <c r="J73" s="111">
        <f t="shared" si="6"/>
        <v>49.782125344774748</v>
      </c>
      <c r="K73" s="113"/>
      <c r="L73" s="110">
        <f t="shared" si="9"/>
        <v>60.992125344774749</v>
      </c>
    </row>
    <row r="74" spans="1:12" x14ac:dyDescent="0.3">
      <c r="A74" s="130" t="s">
        <v>4</v>
      </c>
      <c r="B74" s="131"/>
      <c r="C74" s="131"/>
      <c r="D74" s="131"/>
      <c r="E74" s="131"/>
      <c r="F74" s="131"/>
      <c r="G74" s="131"/>
      <c r="H74" s="131"/>
      <c r="I74" s="131"/>
      <c r="J74" s="131"/>
      <c r="K74" s="114">
        <f>SUM(K3:K73)</f>
        <v>13383.612572529586</v>
      </c>
      <c r="L74" s="111">
        <f>SUM(L3:L73)</f>
        <v>16858.712572529592</v>
      </c>
    </row>
    <row r="75" spans="1:12" x14ac:dyDescent="0.3">
      <c r="K75" s="2"/>
      <c r="L75" s="2"/>
    </row>
    <row r="76" spans="1:12" ht="15" thickBot="1" x14ac:dyDescent="0.35">
      <c r="A76" s="132" t="s">
        <v>192</v>
      </c>
      <c r="B76" s="133"/>
      <c r="C76" s="133"/>
      <c r="D76" s="133"/>
      <c r="E76" s="133"/>
      <c r="F76" s="133"/>
      <c r="G76" s="133"/>
      <c r="H76" s="133"/>
      <c r="I76" s="133"/>
      <c r="J76" s="133"/>
      <c r="K76" s="134"/>
      <c r="L76" s="124"/>
    </row>
    <row r="77" spans="1:12" x14ac:dyDescent="0.3">
      <c r="A77" s="12" t="s">
        <v>0</v>
      </c>
      <c r="B77" s="13" t="s">
        <v>1</v>
      </c>
      <c r="C77" s="13" t="s">
        <v>2</v>
      </c>
      <c r="D77" s="13" t="s">
        <v>15</v>
      </c>
      <c r="E77" s="13" t="s">
        <v>19</v>
      </c>
      <c r="F77" s="13" t="s">
        <v>16</v>
      </c>
      <c r="G77" s="13" t="s">
        <v>17</v>
      </c>
      <c r="H77" s="13" t="s">
        <v>18</v>
      </c>
      <c r="I77" s="13" t="s">
        <v>3</v>
      </c>
      <c r="J77" s="13" t="s">
        <v>5</v>
      </c>
      <c r="K77" s="14" t="s">
        <v>4</v>
      </c>
      <c r="L77" s="118"/>
    </row>
    <row r="78" spans="1:12" x14ac:dyDescent="0.3">
      <c r="A78" s="5" t="s">
        <v>6</v>
      </c>
      <c r="B78" s="6"/>
      <c r="C78" s="6"/>
      <c r="D78" t="s">
        <v>197</v>
      </c>
      <c r="H78" s="116"/>
      <c r="I78" s="116"/>
      <c r="J78" s="116">
        <f>SUM(I79:I80)</f>
        <v>172.5</v>
      </c>
      <c r="K78" s="117">
        <f>J78</f>
        <v>172.5</v>
      </c>
      <c r="L78" s="116"/>
    </row>
    <row r="79" spans="1:12" x14ac:dyDescent="0.3">
      <c r="A79" s="5"/>
      <c r="B79" s="6" t="s">
        <v>7</v>
      </c>
      <c r="C79" s="6"/>
      <c r="D79" t="s">
        <v>198</v>
      </c>
      <c r="E79" t="s">
        <v>200</v>
      </c>
      <c r="F79">
        <v>150</v>
      </c>
      <c r="G79" t="s">
        <v>201</v>
      </c>
      <c r="H79" s="116">
        <v>0.35</v>
      </c>
      <c r="I79" s="116">
        <f>H79*F79</f>
        <v>52.5</v>
      </c>
      <c r="J79" s="116"/>
      <c r="K79" s="117"/>
      <c r="L79" s="116"/>
    </row>
    <row r="80" spans="1:12" x14ac:dyDescent="0.3">
      <c r="A80" s="5"/>
      <c r="B80" s="6" t="s">
        <v>13</v>
      </c>
      <c r="C80" s="6"/>
      <c r="D80" t="s">
        <v>199</v>
      </c>
      <c r="E80" t="s">
        <v>200</v>
      </c>
      <c r="F80">
        <v>6</v>
      </c>
      <c r="G80" t="s">
        <v>202</v>
      </c>
      <c r="H80" s="116">
        <v>20</v>
      </c>
      <c r="I80" s="116">
        <f>H80*F80</f>
        <v>120</v>
      </c>
      <c r="J80" s="116"/>
      <c r="K80" s="117"/>
      <c r="L80" s="116"/>
    </row>
    <row r="81" spans="1:12" x14ac:dyDescent="0.3">
      <c r="A81" s="130" t="s">
        <v>4</v>
      </c>
      <c r="B81" s="131"/>
      <c r="C81" s="131"/>
      <c r="D81" s="131"/>
      <c r="E81" s="131"/>
      <c r="F81" s="131"/>
      <c r="G81" s="131"/>
      <c r="H81" s="131"/>
      <c r="I81" s="131"/>
      <c r="J81" s="131"/>
      <c r="K81" s="114">
        <f>SUM(K78:K80)</f>
        <v>172.5</v>
      </c>
      <c r="L81" s="111"/>
    </row>
    <row r="82" spans="1:12" x14ac:dyDescent="0.3">
      <c r="A82" s="6"/>
      <c r="B82" s="6"/>
      <c r="C82" s="6"/>
    </row>
  </sheetData>
  <mergeCells count="6">
    <mergeCell ref="A81:J81"/>
    <mergeCell ref="A1:K1"/>
    <mergeCell ref="N1:P1"/>
    <mergeCell ref="N5:O5"/>
    <mergeCell ref="A74:J74"/>
    <mergeCell ref="A76:K76"/>
  </mergeCells>
  <dataValidations count="1">
    <dataValidation type="list" allowBlank="1" showInputMessage="1" showErrorMessage="1" sqref="E3:E73" xr:uid="{C5BB27AF-9B30-4FCF-8E44-DCCBC0FC7FF5}">
      <formula1>$Q$20:$Q$25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Company definition</vt:lpstr>
      <vt:lpstr>Costs_init</vt:lpstr>
      <vt:lpstr>Client_init</vt:lpstr>
      <vt:lpstr>Costs_final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Carrasco Arango</dc:creator>
  <cp:lastModifiedBy>Javier Carrasco Arango</cp:lastModifiedBy>
  <dcterms:created xsi:type="dcterms:W3CDTF">2015-06-05T18:17:20Z</dcterms:created>
  <dcterms:modified xsi:type="dcterms:W3CDTF">2026-06-25T11:59:28Z</dcterms:modified>
</cp:coreProperties>
</file>