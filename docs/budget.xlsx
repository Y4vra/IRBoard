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javie\Desktop\proyectos\IRBoard\docs\"/>
    </mc:Choice>
  </mc:AlternateContent>
  <xr:revisionPtr revIDLastSave="0" documentId="13_ncr:1_{FE692509-35D9-4BFA-B51B-C27FC9234824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Company definition" sheetId="2" r:id="rId1"/>
    <sheet name="Costs_init" sheetId="1" r:id="rId2"/>
    <sheet name="Client_init" sheetId="5" r:id="rId3"/>
    <sheet name="Costs_final" sheetId="6" r:id="rId4"/>
    <sheet name="Client_final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0" i="6" l="1"/>
  <c r="I79" i="6"/>
  <c r="J78" i="6" s="1"/>
  <c r="K78" i="6" s="1"/>
  <c r="K81" i="6" s="1"/>
  <c r="P4" i="6" s="1"/>
  <c r="H65" i="6"/>
  <c r="I65" i="6" s="1"/>
  <c r="H64" i="6"/>
  <c r="I64" i="6" s="1"/>
  <c r="H61" i="6"/>
  <c r="I61" i="6" s="1"/>
  <c r="H59" i="6"/>
  <c r="I59" i="6" s="1"/>
  <c r="H58" i="6"/>
  <c r="I58" i="6" s="1"/>
  <c r="H57" i="6"/>
  <c r="I57" i="6" s="1"/>
  <c r="H56" i="6"/>
  <c r="I56" i="6" s="1"/>
  <c r="H55" i="6"/>
  <c r="I55" i="6" s="1"/>
  <c r="H54" i="6"/>
  <c r="I54" i="6" s="1"/>
  <c r="H53" i="6"/>
  <c r="I53" i="6" s="1"/>
  <c r="H52" i="6"/>
  <c r="I52" i="6" s="1"/>
  <c r="H51" i="6"/>
  <c r="I51" i="6" s="1"/>
  <c r="H50" i="6"/>
  <c r="I50" i="6" s="1"/>
  <c r="H48" i="6"/>
  <c r="I48" i="6" s="1"/>
  <c r="H47" i="6"/>
  <c r="I47" i="6" s="1"/>
  <c r="H45" i="6"/>
  <c r="I45" i="6" s="1"/>
  <c r="H44" i="6"/>
  <c r="I44" i="6" s="1"/>
  <c r="H43" i="6"/>
  <c r="I43" i="6" s="1"/>
  <c r="H42" i="6"/>
  <c r="I42" i="6" s="1"/>
  <c r="H40" i="6"/>
  <c r="I40" i="6" s="1"/>
  <c r="H38" i="6"/>
  <c r="I38" i="6" s="1"/>
  <c r="H37" i="6"/>
  <c r="I37" i="6" s="1"/>
  <c r="H35" i="6"/>
  <c r="I35" i="6" s="1"/>
  <c r="H34" i="6"/>
  <c r="I34" i="6" s="1"/>
  <c r="I33" i="6"/>
  <c r="H33" i="6"/>
  <c r="H32" i="6"/>
  <c r="I32" i="6" s="1"/>
  <c r="H31" i="6"/>
  <c r="I31" i="6" s="1"/>
  <c r="H28" i="6"/>
  <c r="I28" i="6" s="1"/>
  <c r="H26" i="6"/>
  <c r="I26" i="6" s="1"/>
  <c r="R25" i="6"/>
  <c r="R24" i="6"/>
  <c r="H69" i="6" s="1"/>
  <c r="I69" i="6" s="1"/>
  <c r="R23" i="6"/>
  <c r="H68" i="6" s="1"/>
  <c r="I68" i="6" s="1"/>
  <c r="R22" i="6"/>
  <c r="H23" i="6" s="1"/>
  <c r="I23" i="6" s="1"/>
  <c r="I22" i="6"/>
  <c r="H22" i="6"/>
  <c r="R21" i="6"/>
  <c r="H21" i="6"/>
  <c r="I21" i="6" s="1"/>
  <c r="R20" i="6"/>
  <c r="H72" i="6" s="1"/>
  <c r="I72" i="6" s="1"/>
  <c r="H20" i="6"/>
  <c r="I20" i="6" s="1"/>
  <c r="H19" i="6"/>
  <c r="I19" i="6" s="1"/>
  <c r="H18" i="6"/>
  <c r="I18" i="6" s="1"/>
  <c r="H17" i="6"/>
  <c r="I17" i="6" s="1"/>
  <c r="H15" i="6"/>
  <c r="I15" i="6" s="1"/>
  <c r="H14" i="6"/>
  <c r="I14" i="6" s="1"/>
  <c r="H13" i="6"/>
  <c r="I13" i="6" s="1"/>
  <c r="H11" i="6"/>
  <c r="I11" i="6" s="1"/>
  <c r="H10" i="6"/>
  <c r="I10" i="6" s="1"/>
  <c r="P9" i="6"/>
  <c r="H8" i="6"/>
  <c r="I8" i="6" s="1"/>
  <c r="H7" i="6"/>
  <c r="I7" i="6" s="1"/>
  <c r="H6" i="6"/>
  <c r="I6" i="6" s="1"/>
  <c r="H5" i="6"/>
  <c r="I5" i="6" s="1"/>
  <c r="I4" i="6"/>
  <c r="J4" i="6" s="1"/>
  <c r="H4" i="6"/>
  <c r="H3" i="6"/>
  <c r="I3" i="6" s="1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0" i="5"/>
  <c r="E27" i="5" s="1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6" i="5"/>
  <c r="D5" i="5"/>
  <c r="D4" i="5"/>
  <c r="L74" i="1"/>
  <c r="L4" i="1"/>
  <c r="L5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3" i="1"/>
  <c r="P10" i="1"/>
  <c r="P9" i="1"/>
  <c r="E41" i="5"/>
  <c r="E31" i="5"/>
  <c r="E26" i="5"/>
  <c r="I80" i="1"/>
  <c r="I79" i="1"/>
  <c r="J78" i="1"/>
  <c r="K78" i="1" s="1"/>
  <c r="K81" i="1" s="1"/>
  <c r="P4" i="1" s="1"/>
  <c r="H20" i="1"/>
  <c r="I20" i="1" s="1"/>
  <c r="H31" i="1"/>
  <c r="I31" i="1" s="1"/>
  <c r="H33" i="1"/>
  <c r="I33" i="1" s="1"/>
  <c r="J33" i="1" s="1"/>
  <c r="H40" i="1"/>
  <c r="I40" i="1" s="1"/>
  <c r="H43" i="1"/>
  <c r="I43" i="1" s="1"/>
  <c r="H45" i="1"/>
  <c r="I45" i="1" s="1"/>
  <c r="H51" i="1"/>
  <c r="I51" i="1" s="1"/>
  <c r="H61" i="1"/>
  <c r="I61" i="1" s="1"/>
  <c r="H3" i="1"/>
  <c r="I3" i="1" s="1"/>
  <c r="H7" i="1"/>
  <c r="I7" i="1" s="1"/>
  <c r="R25" i="1"/>
  <c r="H47" i="1" s="1"/>
  <c r="I47" i="1" s="1"/>
  <c r="R24" i="1"/>
  <c r="H35" i="1" s="1"/>
  <c r="I35" i="1" s="1"/>
  <c r="J35" i="1" s="1"/>
  <c r="R23" i="1"/>
  <c r="H42" i="1" s="1"/>
  <c r="I42" i="1" s="1"/>
  <c r="J42" i="1" s="1"/>
  <c r="R21" i="1"/>
  <c r="H26" i="1" s="1"/>
  <c r="I26" i="1" s="1"/>
  <c r="J26" i="1" s="1"/>
  <c r="R22" i="1"/>
  <c r="H23" i="1" s="1"/>
  <c r="I23" i="1" s="1"/>
  <c r="J23" i="1" s="1"/>
  <c r="R20" i="1"/>
  <c r="H4" i="1" s="1"/>
  <c r="I4" i="1" s="1"/>
  <c r="J4" i="1" s="1"/>
  <c r="E2" i="2"/>
  <c r="E11" i="2" s="1"/>
  <c r="E3" i="2"/>
  <c r="E4" i="2"/>
  <c r="E5" i="2"/>
  <c r="E6" i="2"/>
  <c r="E7" i="2"/>
  <c r="E8" i="2"/>
  <c r="E9" i="2"/>
  <c r="E10" i="2"/>
  <c r="B11" i="2"/>
  <c r="B15" i="2"/>
  <c r="D15" i="2"/>
  <c r="E15" i="2"/>
  <c r="F15" i="2" s="1"/>
  <c r="B16" i="2"/>
  <c r="B24" i="2" s="1"/>
  <c r="E16" i="2"/>
  <c r="B17" i="2"/>
  <c r="D17" i="2" s="1"/>
  <c r="E17" i="2"/>
  <c r="B18" i="2"/>
  <c r="D18" i="2"/>
  <c r="E18" i="2"/>
  <c r="F18" i="2" s="1"/>
  <c r="B19" i="2"/>
  <c r="D19" i="2" s="1"/>
  <c r="E19" i="2"/>
  <c r="B20" i="2"/>
  <c r="D20" i="2" s="1"/>
  <c r="E20" i="2"/>
  <c r="B21" i="2"/>
  <c r="D21" i="2"/>
  <c r="B87" i="2" s="1"/>
  <c r="E21" i="2"/>
  <c r="F21" i="2" s="1"/>
  <c r="B22" i="2"/>
  <c r="D22" i="2" s="1"/>
  <c r="E22" i="2"/>
  <c r="B23" i="2"/>
  <c r="D23" i="2" s="1"/>
  <c r="E23" i="2"/>
  <c r="C27" i="2"/>
  <c r="C28" i="2"/>
  <c r="C50" i="2" s="1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D53" i="2"/>
  <c r="E53" i="2"/>
  <c r="E61" i="2" s="1"/>
  <c r="D54" i="2"/>
  <c r="E54" i="2"/>
  <c r="D55" i="2"/>
  <c r="E55" i="2"/>
  <c r="D56" i="2"/>
  <c r="E56" i="2" s="1"/>
  <c r="D57" i="2"/>
  <c r="E57" i="2" s="1"/>
  <c r="D58" i="2"/>
  <c r="D61" i="2" s="1"/>
  <c r="E58" i="2"/>
  <c r="D59" i="2"/>
  <c r="E59" i="2"/>
  <c r="D60" i="2"/>
  <c r="E60" i="2"/>
  <c r="B64" i="2"/>
  <c r="E64" i="2"/>
  <c r="B65" i="2"/>
  <c r="D65" i="2" s="1"/>
  <c r="E65" i="2" s="1"/>
  <c r="B66" i="2"/>
  <c r="D66" i="2" s="1"/>
  <c r="E66" i="2" s="1"/>
  <c r="D83" i="2" s="1"/>
  <c r="B67" i="2"/>
  <c r="D67" i="2"/>
  <c r="E67" i="2"/>
  <c r="B68" i="2"/>
  <c r="D68" i="2" s="1"/>
  <c r="E68" i="2" s="1"/>
  <c r="D85" i="2" s="1"/>
  <c r="B69" i="2"/>
  <c r="D69" i="2" s="1"/>
  <c r="E69" i="2" s="1"/>
  <c r="D86" i="2" s="1"/>
  <c r="B70" i="2"/>
  <c r="D70" i="2" s="1"/>
  <c r="E70" i="2" s="1"/>
  <c r="D87" i="2" s="1"/>
  <c r="B71" i="2"/>
  <c r="D71" i="2"/>
  <c r="E71" i="2"/>
  <c r="B72" i="2"/>
  <c r="E72" i="2"/>
  <c r="B76" i="2"/>
  <c r="D81" i="2"/>
  <c r="D84" i="2"/>
  <c r="D88" i="2"/>
  <c r="D89" i="2"/>
  <c r="J69" i="6" l="1"/>
  <c r="J42" i="6"/>
  <c r="J57" i="6"/>
  <c r="J23" i="6"/>
  <c r="J32" i="6"/>
  <c r="J21" i="6"/>
  <c r="J64" i="6"/>
  <c r="J37" i="6"/>
  <c r="J56" i="6"/>
  <c r="J26" i="6"/>
  <c r="J5" i="6"/>
  <c r="J58" i="6"/>
  <c r="J72" i="6"/>
  <c r="J65" i="6"/>
  <c r="J53" i="6"/>
  <c r="J38" i="6"/>
  <c r="J68" i="6"/>
  <c r="J54" i="6"/>
  <c r="J55" i="6"/>
  <c r="J28" i="6"/>
  <c r="J59" i="6"/>
  <c r="J34" i="6"/>
  <c r="J35" i="6"/>
  <c r="J52" i="6"/>
  <c r="H41" i="6"/>
  <c r="I41" i="6" s="1"/>
  <c r="H24" i="6"/>
  <c r="I24" i="6" s="1"/>
  <c r="H67" i="6"/>
  <c r="I67" i="6" s="1"/>
  <c r="H70" i="6"/>
  <c r="I70" i="6" s="1"/>
  <c r="H73" i="6"/>
  <c r="I73" i="6" s="1"/>
  <c r="H27" i="6"/>
  <c r="I27" i="6" s="1"/>
  <c r="H30" i="6"/>
  <c r="I30" i="6" s="1"/>
  <c r="H36" i="6"/>
  <c r="I36" i="6" s="1"/>
  <c r="H39" i="6"/>
  <c r="I39" i="6" s="1"/>
  <c r="H49" i="6"/>
  <c r="I49" i="6" s="1"/>
  <c r="H29" i="6"/>
  <c r="I29" i="6" s="1"/>
  <c r="H12" i="6"/>
  <c r="I12" i="6" s="1"/>
  <c r="H16" i="6"/>
  <c r="I16" i="6" s="1"/>
  <c r="J22" i="6"/>
  <c r="J33" i="6"/>
  <c r="H62" i="6"/>
  <c r="I62" i="6" s="1"/>
  <c r="H71" i="6"/>
  <c r="I71" i="6" s="1"/>
  <c r="H9" i="6"/>
  <c r="I9" i="6" s="1"/>
  <c r="H25" i="6"/>
  <c r="I25" i="6" s="1"/>
  <c r="H46" i="6"/>
  <c r="I46" i="6" s="1"/>
  <c r="H60" i="6"/>
  <c r="I60" i="6" s="1"/>
  <c r="H63" i="6"/>
  <c r="I63" i="6" s="1"/>
  <c r="H66" i="6"/>
  <c r="I66" i="6" s="1"/>
  <c r="E18" i="5"/>
  <c r="E7" i="5"/>
  <c r="H34" i="1"/>
  <c r="I34" i="1" s="1"/>
  <c r="J34" i="1" s="1"/>
  <c r="H69" i="1"/>
  <c r="I69" i="1" s="1"/>
  <c r="J69" i="1" s="1"/>
  <c r="H67" i="1"/>
  <c r="I67" i="1" s="1"/>
  <c r="J67" i="1" s="1"/>
  <c r="H70" i="1"/>
  <c r="I70" i="1" s="1"/>
  <c r="J70" i="1" s="1"/>
  <c r="H64" i="1"/>
  <c r="I64" i="1" s="1"/>
  <c r="J64" i="1" s="1"/>
  <c r="H57" i="1"/>
  <c r="I57" i="1" s="1"/>
  <c r="J57" i="1" s="1"/>
  <c r="H32" i="1"/>
  <c r="I32" i="1" s="1"/>
  <c r="J32" i="1" s="1"/>
  <c r="H56" i="1"/>
  <c r="I56" i="1" s="1"/>
  <c r="J56" i="1" s="1"/>
  <c r="H29" i="1"/>
  <c r="I29" i="1" s="1"/>
  <c r="J29" i="1" s="1"/>
  <c r="H55" i="1"/>
  <c r="I55" i="1" s="1"/>
  <c r="J55" i="1" s="1"/>
  <c r="H22" i="1"/>
  <c r="I22" i="1" s="1"/>
  <c r="J22" i="1" s="1"/>
  <c r="H53" i="1"/>
  <c r="I53" i="1" s="1"/>
  <c r="J53" i="1" s="1"/>
  <c r="H10" i="1"/>
  <c r="I10" i="1" s="1"/>
  <c r="H9" i="1"/>
  <c r="I9" i="1" s="1"/>
  <c r="H52" i="1"/>
  <c r="I52" i="1" s="1"/>
  <c r="J52" i="1" s="1"/>
  <c r="H68" i="1"/>
  <c r="I68" i="1" s="1"/>
  <c r="J68" i="1" s="1"/>
  <c r="H46" i="1"/>
  <c r="I46" i="1" s="1"/>
  <c r="H21" i="1"/>
  <c r="I21" i="1" s="1"/>
  <c r="J21" i="1" s="1"/>
  <c r="H65" i="1"/>
  <c r="I65" i="1" s="1"/>
  <c r="J65" i="1" s="1"/>
  <c r="H44" i="1"/>
  <c r="I44" i="1" s="1"/>
  <c r="H12" i="1"/>
  <c r="I12" i="1" s="1"/>
  <c r="H41" i="1"/>
  <c r="I41" i="1" s="1"/>
  <c r="J41" i="1" s="1"/>
  <c r="H11" i="1"/>
  <c r="I11" i="1" s="1"/>
  <c r="H58" i="1"/>
  <c r="I58" i="1" s="1"/>
  <c r="J58" i="1" s="1"/>
  <c r="H19" i="1"/>
  <c r="I19" i="1" s="1"/>
  <c r="H8" i="1"/>
  <c r="I8" i="1" s="1"/>
  <c r="H66" i="1"/>
  <c r="I66" i="1" s="1"/>
  <c r="J66" i="1" s="1"/>
  <c r="H54" i="1"/>
  <c r="I54" i="1" s="1"/>
  <c r="J54" i="1" s="1"/>
  <c r="H30" i="1"/>
  <c r="I30" i="1" s="1"/>
  <c r="J30" i="1" s="1"/>
  <c r="H18" i="1"/>
  <c r="I18" i="1" s="1"/>
  <c r="H5" i="1"/>
  <c r="I5" i="1" s="1"/>
  <c r="J5" i="1" s="1"/>
  <c r="H63" i="1"/>
  <c r="I63" i="1" s="1"/>
  <c r="J63" i="1" s="1"/>
  <c r="H39" i="1"/>
  <c r="I39" i="1" s="1"/>
  <c r="J39" i="1" s="1"/>
  <c r="K39" i="1" s="1"/>
  <c r="H27" i="1"/>
  <c r="I27" i="1" s="1"/>
  <c r="J27" i="1" s="1"/>
  <c r="H15" i="1"/>
  <c r="I15" i="1" s="1"/>
  <c r="H62" i="1"/>
  <c r="I62" i="1" s="1"/>
  <c r="J62" i="1" s="1"/>
  <c r="H50" i="1"/>
  <c r="I50" i="1" s="1"/>
  <c r="H38" i="1"/>
  <c r="I38" i="1" s="1"/>
  <c r="J38" i="1" s="1"/>
  <c r="H14" i="1"/>
  <c r="I14" i="1" s="1"/>
  <c r="H6" i="1"/>
  <c r="I6" i="1" s="1"/>
  <c r="H16" i="1"/>
  <c r="I16" i="1" s="1"/>
  <c r="H73" i="1"/>
  <c r="I73" i="1" s="1"/>
  <c r="J73" i="1" s="1"/>
  <c r="H49" i="1"/>
  <c r="I49" i="1" s="1"/>
  <c r="H37" i="1"/>
  <c r="I37" i="1" s="1"/>
  <c r="J37" i="1" s="1"/>
  <c r="H25" i="1"/>
  <c r="I25" i="1" s="1"/>
  <c r="J25" i="1" s="1"/>
  <c r="H13" i="1"/>
  <c r="I13" i="1" s="1"/>
  <c r="H72" i="1"/>
  <c r="I72" i="1" s="1"/>
  <c r="J72" i="1" s="1"/>
  <c r="H60" i="1"/>
  <c r="I60" i="1" s="1"/>
  <c r="J60" i="1" s="1"/>
  <c r="H48" i="1"/>
  <c r="I48" i="1" s="1"/>
  <c r="H36" i="1"/>
  <c r="I36" i="1" s="1"/>
  <c r="J36" i="1" s="1"/>
  <c r="H24" i="1"/>
  <c r="I24" i="1" s="1"/>
  <c r="J24" i="1" s="1"/>
  <c r="H17" i="1"/>
  <c r="I17" i="1" s="1"/>
  <c r="H28" i="1"/>
  <c r="I28" i="1" s="1"/>
  <c r="J28" i="1" s="1"/>
  <c r="H71" i="1"/>
  <c r="I71" i="1" s="1"/>
  <c r="J71" i="1" s="1"/>
  <c r="H59" i="1"/>
  <c r="I59" i="1" s="1"/>
  <c r="J59" i="1" s="1"/>
  <c r="E73" i="2"/>
  <c r="D82" i="2"/>
  <c r="B85" i="2"/>
  <c r="B89" i="2"/>
  <c r="B86" i="2"/>
  <c r="B83" i="2"/>
  <c r="B88" i="2"/>
  <c r="D90" i="2"/>
  <c r="F22" i="2"/>
  <c r="F19" i="2"/>
  <c r="F16" i="2"/>
  <c r="F24" i="2" s="1"/>
  <c r="B75" i="2" s="1"/>
  <c r="B84" i="2"/>
  <c r="D16" i="2"/>
  <c r="B81" i="2"/>
  <c r="F23" i="2"/>
  <c r="F20" i="2"/>
  <c r="F17" i="2"/>
  <c r="J62" i="6" l="1"/>
  <c r="J25" i="6"/>
  <c r="J73" i="6"/>
  <c r="K31" i="6"/>
  <c r="J30" i="6"/>
  <c r="J70" i="6"/>
  <c r="J24" i="6"/>
  <c r="J66" i="6"/>
  <c r="J29" i="6"/>
  <c r="K51" i="6"/>
  <c r="J27" i="6"/>
  <c r="J41" i="6"/>
  <c r="J36" i="6"/>
  <c r="J71" i="6"/>
  <c r="J67" i="6"/>
  <c r="J6" i="6"/>
  <c r="K3" i="6" s="1"/>
  <c r="J63" i="6"/>
  <c r="J60" i="6"/>
  <c r="J39" i="6"/>
  <c r="K39" i="6" s="1"/>
  <c r="J43" i="6"/>
  <c r="J43" i="1"/>
  <c r="K61" i="1"/>
  <c r="K51" i="1"/>
  <c r="K40" i="1"/>
  <c r="K31" i="1"/>
  <c r="K20" i="1"/>
  <c r="J6" i="1"/>
  <c r="K3" i="2"/>
  <c r="B77" i="2"/>
  <c r="F82" i="2"/>
  <c r="B82" i="2"/>
  <c r="D24" i="2"/>
  <c r="K2" i="2" s="1"/>
  <c r="K4" i="2" s="1"/>
  <c r="K20" i="6" l="1"/>
  <c r="K61" i="6"/>
  <c r="K40" i="6"/>
  <c r="K74" i="6" s="1"/>
  <c r="P3" i="6" s="1"/>
  <c r="K3" i="1"/>
  <c r="K5" i="2"/>
  <c r="K6" i="2"/>
  <c r="F87" i="2"/>
  <c r="B78" i="2"/>
  <c r="F88" i="2"/>
  <c r="F86" i="2"/>
  <c r="F84" i="2"/>
  <c r="F83" i="2"/>
  <c r="F89" i="2"/>
  <c r="F85" i="2"/>
  <c r="P5" i="6" l="1"/>
  <c r="P6" i="6" s="1"/>
  <c r="P8" i="6" s="1"/>
  <c r="P10" i="6" s="1"/>
  <c r="C85" i="2"/>
  <c r="E85" i="2" s="1"/>
  <c r="C84" i="2"/>
  <c r="E84" i="2" s="1"/>
  <c r="F81" i="2"/>
  <c r="C83" i="2"/>
  <c r="E83" i="2" s="1"/>
  <c r="C89" i="2"/>
  <c r="E89" i="2" s="1"/>
  <c r="C86" i="2"/>
  <c r="E86" i="2" s="1"/>
  <c r="C87" i="2"/>
  <c r="E87" i="2" s="1"/>
  <c r="C81" i="2"/>
  <c r="E81" i="2" s="1"/>
  <c r="C88" i="2"/>
  <c r="E88" i="2" s="1"/>
  <c r="C82" i="2"/>
  <c r="E82" i="2" s="1"/>
  <c r="L38" i="6" l="1"/>
  <c r="D25" i="7" s="1"/>
  <c r="L43" i="6"/>
  <c r="L19" i="6"/>
  <c r="L61" i="6"/>
  <c r="D41" i="7" s="1"/>
  <c r="L23" i="6"/>
  <c r="D10" i="7" s="1"/>
  <c r="L58" i="6"/>
  <c r="D38" i="7" s="1"/>
  <c r="L22" i="6"/>
  <c r="D9" i="7" s="1"/>
  <c r="L64" i="6"/>
  <c r="D44" i="7" s="1"/>
  <c r="L69" i="6"/>
  <c r="D49" i="7" s="1"/>
  <c r="L44" i="6"/>
  <c r="L37" i="6"/>
  <c r="D24" i="7" s="1"/>
  <c r="L72" i="6"/>
  <c r="D52" i="7" s="1"/>
  <c r="L28" i="6"/>
  <c r="D15" i="7" s="1"/>
  <c r="L52" i="6"/>
  <c r="D32" i="7" s="1"/>
  <c r="L65" i="6"/>
  <c r="D45" i="7" s="1"/>
  <c r="L34" i="6"/>
  <c r="D21" i="7" s="1"/>
  <c r="L21" i="6"/>
  <c r="D8" i="7" s="1"/>
  <c r="L42" i="6"/>
  <c r="D29" i="7" s="1"/>
  <c r="L20" i="6"/>
  <c r="L47" i="6"/>
  <c r="L15" i="6"/>
  <c r="L5" i="6"/>
  <c r="D5" i="7" s="1"/>
  <c r="L54" i="6"/>
  <c r="D34" i="7" s="1"/>
  <c r="L17" i="6"/>
  <c r="L45" i="6"/>
  <c r="L40" i="6"/>
  <c r="D27" i="7" s="1"/>
  <c r="L8" i="6"/>
  <c r="L31" i="6"/>
  <c r="D18" i="7" s="1"/>
  <c r="L4" i="6"/>
  <c r="D4" i="7" s="1"/>
  <c r="L57" i="6"/>
  <c r="D37" i="7" s="1"/>
  <c r="L51" i="6"/>
  <c r="L32" i="6"/>
  <c r="D19" i="7" s="1"/>
  <c r="L68" i="6"/>
  <c r="D48" i="7" s="1"/>
  <c r="L13" i="6"/>
  <c r="L11" i="6"/>
  <c r="L48" i="6"/>
  <c r="L55" i="6"/>
  <c r="D35" i="7" s="1"/>
  <c r="L56" i="6"/>
  <c r="D36" i="7" s="1"/>
  <c r="L33" i="6"/>
  <c r="D20" i="7" s="1"/>
  <c r="L59" i="6"/>
  <c r="D39" i="7" s="1"/>
  <c r="L7" i="6"/>
  <c r="L50" i="6"/>
  <c r="L26" i="6"/>
  <c r="D13" i="7" s="1"/>
  <c r="L10" i="6"/>
  <c r="L3" i="6"/>
  <c r="L53" i="6"/>
  <c r="D33" i="7" s="1"/>
  <c r="L18" i="6"/>
  <c r="L14" i="6"/>
  <c r="L35" i="6"/>
  <c r="D22" i="7" s="1"/>
  <c r="L46" i="6"/>
  <c r="L70" i="6"/>
  <c r="D50" i="7" s="1"/>
  <c r="L41" i="6"/>
  <c r="D28" i="7" s="1"/>
  <c r="L63" i="6"/>
  <c r="D43" i="7" s="1"/>
  <c r="L9" i="6"/>
  <c r="L62" i="6"/>
  <c r="D42" i="7" s="1"/>
  <c r="L24" i="6"/>
  <c r="D11" i="7" s="1"/>
  <c r="L49" i="6"/>
  <c r="L60" i="6"/>
  <c r="D40" i="7" s="1"/>
  <c r="L36" i="6"/>
  <c r="D23" i="7" s="1"/>
  <c r="L39" i="6"/>
  <c r="D26" i="7" s="1"/>
  <c r="E26" i="7" s="1"/>
  <c r="L71" i="6"/>
  <c r="D51" i="7" s="1"/>
  <c r="L73" i="6"/>
  <c r="D53" i="7" s="1"/>
  <c r="L67" i="6"/>
  <c r="D47" i="7" s="1"/>
  <c r="L12" i="6"/>
  <c r="L27" i="6"/>
  <c r="D14" i="7" s="1"/>
  <c r="L30" i="6"/>
  <c r="D17" i="7" s="1"/>
  <c r="L25" i="6"/>
  <c r="D12" i="7" s="1"/>
  <c r="L66" i="6"/>
  <c r="D46" i="7" s="1"/>
  <c r="L29" i="6"/>
  <c r="D16" i="7" s="1"/>
  <c r="L16" i="6"/>
  <c r="E90" i="2"/>
  <c r="K7" i="2" s="1"/>
  <c r="K8" i="2" s="1"/>
  <c r="D6" i="7" l="1"/>
  <c r="E3" i="7" s="1"/>
  <c r="E7" i="7"/>
  <c r="D30" i="7"/>
  <c r="E27" i="7" s="1"/>
  <c r="E18" i="7"/>
  <c r="E41" i="7"/>
  <c r="E31" i="7"/>
  <c r="L74" i="6"/>
  <c r="K74" i="1"/>
  <c r="P3" i="1" s="1"/>
  <c r="E54" i="7" l="1"/>
  <c r="I3" i="7" s="1"/>
  <c r="I4" i="7" s="1"/>
  <c r="P5" i="1"/>
  <c r="P6" i="1"/>
  <c r="P8" i="1" s="1"/>
  <c r="E3" i="5" l="1"/>
  <c r="E54" i="5" s="1"/>
  <c r="I3" i="5" s="1"/>
  <c r="I4" i="5" s="1"/>
</calcChain>
</file>

<file path=xl/sharedStrings.xml><?xml version="1.0" encoding="utf-8"?>
<sst xmlns="http://schemas.openxmlformats.org/spreadsheetml/2006/main" count="1014" uniqueCount="216">
  <si>
    <t>I1</t>
  </si>
  <si>
    <t>I2</t>
  </si>
  <si>
    <t>I3</t>
  </si>
  <si>
    <t>Subtotal</t>
  </si>
  <si>
    <t>Total</t>
  </si>
  <si>
    <t>Subtotal (2)</t>
  </si>
  <si>
    <t>01</t>
  </si>
  <si>
    <t>001</t>
  </si>
  <si>
    <t>02</t>
  </si>
  <si>
    <t>03</t>
  </si>
  <si>
    <t>04</t>
  </si>
  <si>
    <t>05</t>
  </si>
  <si>
    <t>06</t>
  </si>
  <si>
    <t>002</t>
  </si>
  <si>
    <t>003</t>
  </si>
  <si>
    <t>Description</t>
  </si>
  <si>
    <t>Cuantity</t>
  </si>
  <si>
    <t>Units</t>
  </si>
  <si>
    <t>Price</t>
  </si>
  <si>
    <t>Resource</t>
  </si>
  <si>
    <t>Project management</t>
  </si>
  <si>
    <t xml:space="preserve">   Design project schedule</t>
  </si>
  <si>
    <t xml:space="preserve">   Generate budget</t>
  </si>
  <si>
    <t xml:space="preserve">   Periodic project management</t>
  </si>
  <si>
    <t xml:space="preserve">      Periodic project management 1</t>
  </si>
  <si>
    <t xml:space="preserve">      Periodic project management 2</t>
  </si>
  <si>
    <t xml:space="preserve">      Periodic project management 3</t>
  </si>
  <si>
    <t xml:space="preserve">      Periodic project management 4</t>
  </si>
  <si>
    <t xml:space="preserve">      Periodic project management 5</t>
  </si>
  <si>
    <t xml:space="preserve">      Periodic project management 6</t>
  </si>
  <si>
    <t xml:space="preserve">      Periodic project management 7</t>
  </si>
  <si>
    <t xml:space="preserve">      Periodic project management 8</t>
  </si>
  <si>
    <t xml:space="preserve">      Periodic project management 9</t>
  </si>
  <si>
    <t xml:space="preserve">      Periodic project management 10</t>
  </si>
  <si>
    <t xml:space="preserve">      Periodic project management 11</t>
  </si>
  <si>
    <t xml:space="preserve">      Periodic project management 12</t>
  </si>
  <si>
    <t xml:space="preserve">      Periodic project management 13</t>
  </si>
  <si>
    <t>Analysis/Software Requirements</t>
  </si>
  <si>
    <t xml:space="preserve">   Determine project scope</t>
  </si>
  <si>
    <t xml:space="preserve">   Review Regulatory Standards</t>
  </si>
  <si>
    <t xml:space="preserve">   Identify required Documentation</t>
  </si>
  <si>
    <t xml:space="preserve">   Determine hand-ins for the project</t>
  </si>
  <si>
    <t xml:space="preserve">   Adapt project template to typst</t>
  </si>
  <si>
    <t xml:space="preserve">   Analyze existing systems</t>
  </si>
  <si>
    <t xml:space="preserve">   Draft preliminary software requirements</t>
  </si>
  <si>
    <t xml:space="preserve">   Model auxiliary diagrams</t>
  </si>
  <si>
    <t xml:space="preserve">   Review software requirements</t>
  </si>
  <si>
    <t xml:space="preserve">   Modify requirements with feedback</t>
  </si>
  <si>
    <t>Design</t>
  </si>
  <si>
    <t xml:space="preserve">   Design architecture</t>
  </si>
  <si>
    <t xml:space="preserve">   Design brand identity</t>
  </si>
  <si>
    <t xml:space="preserve">   Design project management</t>
  </si>
  <si>
    <t xml:space="preserve">   Design stakeholder management</t>
  </si>
  <si>
    <t xml:space="preserve">   Design requirement management</t>
  </si>
  <si>
    <t xml:space="preserve">   Design user management</t>
  </si>
  <si>
    <t>Set up SonarQube for Quality Assurance</t>
  </si>
  <si>
    <t>Development</t>
  </si>
  <si>
    <t xml:space="preserve">   Set up architecture</t>
  </si>
  <si>
    <t xml:space="preserve">   Set up development enviroment</t>
  </si>
  <si>
    <t xml:space="preserve">   Develop code</t>
  </si>
  <si>
    <t xml:space="preserve">      Develop project management module</t>
  </si>
  <si>
    <t xml:space="preserve">      Develop stakeholder management module</t>
  </si>
  <si>
    <t xml:space="preserve">      Develop requirement management module</t>
  </si>
  <si>
    <t xml:space="preserve">      Develop user management module</t>
  </si>
  <si>
    <t xml:space="preserve">      Develop modifying concurrency system</t>
  </si>
  <si>
    <t xml:space="preserve">      Develop search and filtering</t>
  </si>
  <si>
    <t>Testing</t>
  </si>
  <si>
    <t xml:space="preserve">   Test project management module</t>
  </si>
  <si>
    <t xml:space="preserve">   Test stakeholder management module</t>
  </si>
  <si>
    <t xml:space="preserve">   Test requirement management module</t>
  </si>
  <si>
    <t xml:space="preserve">   Test user management module</t>
  </si>
  <si>
    <t xml:space="preserve">   Test modifying concurrency system</t>
  </si>
  <si>
    <t xml:space="preserve">   Test search and filtering</t>
  </si>
  <si>
    <t xml:space="preserve">   Load testing</t>
  </si>
  <si>
    <t>Documentation</t>
  </si>
  <si>
    <t xml:space="preserve">   Document declaration of originality, abstract and keywords</t>
  </si>
  <si>
    <t xml:space="preserve">   Document introduction</t>
  </si>
  <si>
    <t xml:space="preserve">   Document theoretical background</t>
  </si>
  <si>
    <t xml:space="preserve">   Document feasibility study and alternative analysis</t>
  </si>
  <si>
    <t xml:space="preserve">   Document Initial project planning and management</t>
  </si>
  <si>
    <t xml:space="preserve">   Document system analysis</t>
  </si>
  <si>
    <t xml:space="preserve">   Document system design</t>
  </si>
  <si>
    <t xml:space="preserve">   Document system implementation</t>
  </si>
  <si>
    <t xml:space="preserve">   Document test plan execution</t>
  </si>
  <si>
    <t xml:space="preserve">   Document system manuals</t>
  </si>
  <si>
    <t xml:space="preserve">   Document final project closure</t>
  </si>
  <si>
    <t xml:space="preserve">   Document conclusions and future work</t>
  </si>
  <si>
    <t>07</t>
  </si>
  <si>
    <t>08</t>
  </si>
  <si>
    <t>09</t>
  </si>
  <si>
    <t>10</t>
  </si>
  <si>
    <t>11</t>
  </si>
  <si>
    <t>12</t>
  </si>
  <si>
    <t>13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</si>
  <si>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</si>
  <si>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</si>
  <si>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</si>
  <si>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</si>
  <si>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</si>
  <si>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</si>
  <si>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</si>
  <si>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</si>
  <si>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</si>
  <si>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Hours</t>
  </si>
  <si>
    <t>Project manager</t>
  </si>
  <si>
    <t>Available resources</t>
  </si>
  <si>
    <t>System Analyst</t>
  </si>
  <si>
    <t>Technology consultant</t>
  </si>
  <si>
    <t>Software architect</t>
  </si>
  <si>
    <t>Senior software engineer</t>
  </si>
  <si>
    <t>Junior software engineer</t>
  </si>
  <si>
    <t>TOTAL</t>
  </si>
  <si>
    <t>Prod(%)</t>
  </si>
  <si>
    <t>val</t>
  </si>
  <si>
    <t>Nº</t>
  </si>
  <si>
    <t>total</t>
  </si>
  <si>
    <t>Num</t>
  </si>
  <si>
    <t>Personnel</t>
  </si>
  <si>
    <t>General manager</t>
  </si>
  <si>
    <t>Service coordinator</t>
  </si>
  <si>
    <t>Systems analyst</t>
  </si>
  <si>
    <t>Senior developer</t>
  </si>
  <si>
    <t>Junior developer</t>
  </si>
  <si>
    <t>Sales representative</t>
  </si>
  <si>
    <t>Gross annual salary</t>
  </si>
  <si>
    <t>annual employment cost</t>
  </si>
  <si>
    <t>Concept</t>
  </si>
  <si>
    <t>Amount</t>
  </si>
  <si>
    <t>Total direct costs</t>
  </si>
  <si>
    <t>Total indirect cotsts</t>
  </si>
  <si>
    <t>Sum of direct and indirect costs</t>
  </si>
  <si>
    <t>Desired profit</t>
  </si>
  <si>
    <t>Required billing/revenue</t>
  </si>
  <si>
    <t>Possible billing based on productive hours and calculated hourly rates</t>
  </si>
  <si>
    <t>Margin between total cost and billing</t>
  </si>
  <si>
    <t>Direct cost</t>
  </si>
  <si>
    <t>IC  (%)</t>
  </si>
  <si>
    <t>Indirect cost</t>
  </si>
  <si>
    <t>Service</t>
  </si>
  <si>
    <t>Monthly cost</t>
  </si>
  <si>
    <t>Annual cost</t>
  </si>
  <si>
    <t>Cleaning</t>
  </si>
  <si>
    <t>Advertising</t>
  </si>
  <si>
    <t>Accounting services</t>
  </si>
  <si>
    <t>Quality control</t>
  </si>
  <si>
    <t>Taxes and fees</t>
  </si>
  <si>
    <t>Rent / lease</t>
  </si>
  <si>
    <t>Vehicle leasing fees</t>
  </si>
  <si>
    <t>Maintenance, repair and upkeep</t>
  </si>
  <si>
    <t>Small tools and equipment</t>
  </si>
  <si>
    <t>Electricity consumption</t>
  </si>
  <si>
    <t>Heating energy consumption</t>
  </si>
  <si>
    <t>Water consumption</t>
  </si>
  <si>
    <t>Consulting, auditing and professional fees</t>
  </si>
  <si>
    <t>Insurance premiums</t>
  </si>
  <si>
    <t>Freight and transportation costs</t>
  </si>
  <si>
    <t>Communications expenses</t>
  </si>
  <si>
    <t>Travel, subsistence and accomodation expenses for non productive staff</t>
  </si>
  <si>
    <t>Advertising and public relations expenses</t>
  </si>
  <si>
    <t>Office supplies</t>
  </si>
  <si>
    <t>Postal and courier expenses</t>
  </si>
  <si>
    <t>Professional and business publication subscriptions</t>
  </si>
  <si>
    <t>Financial expenses</t>
  </si>
  <si>
    <t>Depreciation expense of fixed assets</t>
  </si>
  <si>
    <t>Equipment/licenses</t>
  </si>
  <si>
    <t>Total cost</t>
  </si>
  <si>
    <t>Type</t>
  </si>
  <si>
    <t>Term</t>
  </si>
  <si>
    <t>Rental</t>
  </si>
  <si>
    <t>Depreciation</t>
  </si>
  <si>
    <t>Azure data center</t>
  </si>
  <si>
    <t>Administrative equipment</t>
  </si>
  <si>
    <t>Development equipment</t>
  </si>
  <si>
    <t>Laptops</t>
  </si>
  <si>
    <t>Development licenses</t>
  </si>
  <si>
    <t>Apple developer program annual fee</t>
  </si>
  <si>
    <t>Google play console registration</t>
  </si>
  <si>
    <t>Collaboration tools</t>
  </si>
  <si>
    <t>Hours / year</t>
  </si>
  <si>
    <t>Productive hours per year (per person)</t>
  </si>
  <si>
    <t>Total productive hours</t>
  </si>
  <si>
    <t>Indirect costs</t>
  </si>
  <si>
    <t>Productive employees</t>
  </si>
  <si>
    <t>Indirect costs per productive employee</t>
  </si>
  <si>
    <t>Indirect costs including profit</t>
  </si>
  <si>
    <t>Direct cost / hour</t>
  </si>
  <si>
    <t>Hourly rate (with profit)</t>
  </si>
  <si>
    <t>Productive hours</t>
  </si>
  <si>
    <t>Revenue</t>
  </si>
  <si>
    <t>Hourly rate (without profit)</t>
  </si>
  <si>
    <t>Hourly  rate (without profit)</t>
  </si>
  <si>
    <t>Category 1: IrBoard development costs breakdown</t>
  </si>
  <si>
    <t>Category 2: Other</t>
  </si>
  <si>
    <t xml:space="preserve">   Usability and accesibility testing</t>
  </si>
  <si>
    <t xml:space="preserve">   Design document management </t>
  </si>
  <si>
    <t xml:space="preserve">      Develop document management </t>
  </si>
  <si>
    <t xml:space="preserve">   Test document management  </t>
  </si>
  <si>
    <t>Travel and transportation expenses</t>
  </si>
  <si>
    <t>Travel to client facilities (deployment/support)</t>
  </si>
  <si>
    <t>Meals/daily allowance</t>
  </si>
  <si>
    <t>-</t>
  </si>
  <si>
    <t>km</t>
  </si>
  <si>
    <t>meals</t>
  </si>
  <si>
    <t>IrBoard costs</t>
  </si>
  <si>
    <t>Category</t>
  </si>
  <si>
    <t>Cat. Num</t>
  </si>
  <si>
    <t>IrBoard development costs breakdown</t>
  </si>
  <si>
    <t>Other</t>
  </si>
  <si>
    <t>Profit (25%)</t>
  </si>
  <si>
    <t>Simplified client budget</t>
  </si>
  <si>
    <t>Detailed client budget</t>
  </si>
  <si>
    <t>amount to be increased on the first category</t>
  </si>
  <si>
    <t>Cost</t>
  </si>
  <si>
    <t>with proportional increase</t>
  </si>
  <si>
    <t>total hours</t>
  </si>
  <si>
    <t>Dilution increase per billable 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</si>
</sst>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\ &quot;€&quot;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FF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6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/>
    <xf numFmtId="0" fontId="3" fillId="0" borderId="0" xfId="0" applyFont="1" applyAlignment="1">
      <alignment wrapText="1"/>
    </xf>
    <xf numFmtId="0" fontId="3" fillId="0" borderId="0" xfId="0" applyFont="1"/>
    <xf numFmtId="49" fontId="0" fillId="0" borderId="11" xfId="0" applyNumberFormat="1" applyBorder="1"/>
    <xf numFmtId="49" fontId="0" fillId="0" borderId="0" xfId="0" applyNumberFormat="1"/>
    <xf numFmtId="0" fontId="2" fillId="0" borderId="0" xfId="0" applyFont="1" applyAlignment="1">
      <alignment wrapText="1"/>
    </xf>
    <xf numFmtId="49" fontId="0" fillId="0" borderId="13" xfId="0" applyNumberFormat="1" applyBorder="1"/>
    <xf numFmtId="49" fontId="0" fillId="0" borderId="14" xfId="0" applyNumberFormat="1" applyBorder="1"/>
    <xf numFmtId="0" fontId="0" fillId="0" borderId="14" xfId="0" applyBorder="1" applyAlignment="1">
      <alignment wrapText="1"/>
    </xf>
    <xf numFmtId="0" fontId="0" fillId="0" borderId="14" xfId="0" applyBorder="1"/>
    <xf numFmtId="0" fontId="2" fillId="0" borderId="17" xfId="0" applyFont="1" applyBorder="1"/>
    <xf numFmtId="0" fontId="2" fillId="0" borderId="2" xfId="0" applyFont="1" applyBorder="1"/>
    <xf numFmtId="0" fontId="2" fillId="0" borderId="3" xfId="0" applyFont="1" applyBorder="1"/>
    <xf numFmtId="0" fontId="0" fillId="2" borderId="0" xfId="0" applyFill="1"/>
    <xf numFmtId="0" fontId="3" fillId="2" borderId="16" xfId="0" applyFont="1" applyFill="1" applyBorder="1"/>
    <xf numFmtId="44" fontId="5" fillId="2" borderId="20" xfId="0" applyNumberFormat="1" applyFont="1" applyFill="1" applyBorder="1"/>
    <xf numFmtId="0" fontId="5" fillId="2" borderId="20" xfId="0" applyFont="1" applyFill="1" applyBorder="1"/>
    <xf numFmtId="0" fontId="5" fillId="2" borderId="21" xfId="0" applyFont="1" applyFill="1" applyBorder="1" applyAlignment="1">
      <alignment wrapText="1"/>
    </xf>
    <xf numFmtId="44" fontId="3" fillId="0" borderId="6" xfId="1" applyFont="1" applyBorder="1"/>
    <xf numFmtId="44" fontId="3" fillId="0" borderId="20" xfId="0" applyNumberFormat="1" applyFont="1" applyBorder="1"/>
    <xf numFmtId="0" fontId="3" fillId="0" borderId="20" xfId="0" applyFont="1" applyBorder="1"/>
    <xf numFmtId="44" fontId="3" fillId="0" borderId="20" xfId="1" applyFont="1" applyFill="1" applyBorder="1"/>
    <xf numFmtId="0" fontId="3" fillId="0" borderId="21" xfId="0" applyFont="1" applyBorder="1" applyAlignment="1">
      <alignment wrapText="1"/>
    </xf>
    <xf numFmtId="44" fontId="3" fillId="2" borderId="6" xfId="1" applyFont="1" applyFill="1" applyBorder="1"/>
    <xf numFmtId="44" fontId="3" fillId="2" borderId="0" xfId="0" applyNumberFormat="1" applyFont="1" applyFill="1"/>
    <xf numFmtId="0" fontId="3" fillId="2" borderId="0" xfId="0" applyFont="1" applyFill="1"/>
    <xf numFmtId="44" fontId="3" fillId="2" borderId="0" xfId="1" applyFont="1" applyFill="1" applyBorder="1"/>
    <xf numFmtId="0" fontId="3" fillId="2" borderId="5" xfId="0" applyFont="1" applyFill="1" applyBorder="1" applyAlignment="1">
      <alignment wrapText="1"/>
    </xf>
    <xf numFmtId="44" fontId="3" fillId="0" borderId="0" xfId="0" applyNumberFormat="1" applyFont="1"/>
    <xf numFmtId="44" fontId="3" fillId="0" borderId="0" xfId="1" applyFont="1" applyFill="1" applyBorder="1"/>
    <xf numFmtId="0" fontId="3" fillId="0" borderId="5" xfId="0" applyFont="1" applyBorder="1" applyAlignment="1">
      <alignment wrapText="1"/>
    </xf>
    <xf numFmtId="0" fontId="5" fillId="2" borderId="22" xfId="0" applyFont="1" applyFill="1" applyBorder="1" applyAlignment="1">
      <alignment horizontal="center" wrapText="1"/>
    </xf>
    <xf numFmtId="0" fontId="5" fillId="2" borderId="23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 wrapText="1"/>
    </xf>
    <xf numFmtId="0" fontId="5" fillId="2" borderId="24" xfId="0" applyFont="1" applyFill="1" applyBorder="1" applyAlignment="1">
      <alignment horizontal="center" wrapText="1"/>
    </xf>
    <xf numFmtId="44" fontId="3" fillId="2" borderId="25" xfId="0" applyNumberFormat="1" applyFont="1" applyFill="1" applyBorder="1"/>
    <xf numFmtId="0" fontId="3" fillId="2" borderId="21" xfId="0" applyFont="1" applyFill="1" applyBorder="1" applyAlignment="1">
      <alignment wrapText="1"/>
    </xf>
    <xf numFmtId="44" fontId="3" fillId="0" borderId="6" xfId="0" applyNumberFormat="1" applyFont="1" applyBorder="1"/>
    <xf numFmtId="0" fontId="3" fillId="2" borderId="6" xfId="0" applyFont="1" applyFill="1" applyBorder="1"/>
    <xf numFmtId="44" fontId="3" fillId="0" borderId="22" xfId="0" applyNumberFormat="1" applyFont="1" applyBorder="1"/>
    <xf numFmtId="0" fontId="3" fillId="0" borderId="24" xfId="0" applyFont="1" applyBorder="1" applyAlignment="1">
      <alignment wrapText="1"/>
    </xf>
    <xf numFmtId="0" fontId="5" fillId="0" borderId="25" xfId="0" applyFont="1" applyBorder="1" applyAlignment="1">
      <alignment wrapText="1"/>
    </xf>
    <xf numFmtId="0" fontId="5" fillId="0" borderId="20" xfId="0" applyFont="1" applyBorder="1" applyAlignment="1">
      <alignment wrapText="1"/>
    </xf>
    <xf numFmtId="0" fontId="3" fillId="0" borderId="20" xfId="0" applyFont="1" applyBorder="1" applyAlignment="1">
      <alignment wrapText="1"/>
    </xf>
    <xf numFmtId="0" fontId="5" fillId="0" borderId="21" xfId="0" applyFont="1" applyBorder="1" applyAlignment="1">
      <alignment wrapText="1"/>
    </xf>
    <xf numFmtId="0" fontId="3" fillId="2" borderId="25" xfId="0" applyFont="1" applyFill="1" applyBorder="1" applyAlignment="1">
      <alignment wrapText="1"/>
    </xf>
    <xf numFmtId="0" fontId="3" fillId="2" borderId="20" xfId="0" applyFont="1" applyFill="1" applyBorder="1" applyAlignment="1">
      <alignment wrapText="1"/>
    </xf>
    <xf numFmtId="10" fontId="3" fillId="2" borderId="20" xfId="0" applyNumberFormat="1" applyFont="1" applyFill="1" applyBorder="1" applyAlignment="1">
      <alignment wrapText="1"/>
    </xf>
    <xf numFmtId="0" fontId="3" fillId="0" borderId="6" xfId="0" applyFont="1" applyBorder="1" applyAlignment="1">
      <alignment wrapText="1"/>
    </xf>
    <xf numFmtId="0" fontId="6" fillId="0" borderId="0" xfId="0" applyFont="1" applyAlignment="1">
      <alignment wrapText="1"/>
    </xf>
    <xf numFmtId="10" fontId="3" fillId="0" borderId="0" xfId="0" applyNumberFormat="1" applyFont="1" applyAlignment="1">
      <alignment wrapText="1"/>
    </xf>
    <xf numFmtId="0" fontId="3" fillId="2" borderId="6" xfId="0" applyFont="1" applyFill="1" applyBorder="1" applyAlignment="1">
      <alignment wrapText="1"/>
    </xf>
    <xf numFmtId="0" fontId="3" fillId="2" borderId="0" xfId="0" applyFont="1" applyFill="1" applyAlignment="1">
      <alignment wrapText="1"/>
    </xf>
    <xf numFmtId="0" fontId="6" fillId="2" borderId="0" xfId="0" applyFont="1" applyFill="1" applyAlignment="1">
      <alignment wrapText="1"/>
    </xf>
    <xf numFmtId="10" fontId="3" fillId="2" borderId="0" xfId="0" applyNumberFormat="1" applyFont="1" applyFill="1" applyAlignment="1">
      <alignment wrapText="1"/>
    </xf>
    <xf numFmtId="0" fontId="5" fillId="0" borderId="26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3" fillId="0" borderId="9" xfId="0" applyFont="1" applyBorder="1"/>
    <xf numFmtId="0" fontId="3" fillId="0" borderId="8" xfId="0" applyFont="1" applyBorder="1"/>
    <xf numFmtId="44" fontId="5" fillId="0" borderId="8" xfId="1" applyFont="1" applyFill="1" applyBorder="1"/>
    <xf numFmtId="0" fontId="5" fillId="0" borderId="7" xfId="0" applyFont="1" applyBorder="1" applyAlignment="1">
      <alignment wrapText="1"/>
    </xf>
    <xf numFmtId="0" fontId="6" fillId="2" borderId="0" xfId="0" applyFont="1" applyFill="1"/>
    <xf numFmtId="44" fontId="6" fillId="2" borderId="0" xfId="1" applyFont="1" applyFill="1" applyBorder="1"/>
    <xf numFmtId="0" fontId="3" fillId="0" borderId="6" xfId="0" applyFont="1" applyBorder="1"/>
    <xf numFmtId="0" fontId="6" fillId="0" borderId="0" xfId="0" applyFont="1"/>
    <xf numFmtId="44" fontId="6" fillId="0" borderId="0" xfId="1" applyFont="1" applyFill="1" applyBorder="1"/>
    <xf numFmtId="0" fontId="6" fillId="2" borderId="6" xfId="0" applyFont="1" applyFill="1" applyBorder="1"/>
    <xf numFmtId="0" fontId="7" fillId="2" borderId="0" xfId="0" applyFont="1" applyFill="1"/>
    <xf numFmtId="0" fontId="6" fillId="0" borderId="6" xfId="0" applyFont="1" applyBorder="1"/>
    <xf numFmtId="0" fontId="7" fillId="0" borderId="0" xfId="0" applyFont="1"/>
    <xf numFmtId="0" fontId="5" fillId="2" borderId="26" xfId="0" applyFont="1" applyFill="1" applyBorder="1" applyAlignment="1">
      <alignment wrapText="1"/>
    </xf>
    <xf numFmtId="0" fontId="5" fillId="2" borderId="2" xfId="0" applyFont="1" applyFill="1" applyBorder="1" applyAlignment="1">
      <alignment wrapText="1"/>
    </xf>
    <xf numFmtId="44" fontId="5" fillId="2" borderId="9" xfId="1" applyFont="1" applyFill="1" applyBorder="1"/>
    <xf numFmtId="44" fontId="3" fillId="2" borderId="8" xfId="1" applyFont="1" applyFill="1" applyBorder="1"/>
    <xf numFmtId="0" fontId="5" fillId="2" borderId="7" xfId="0" applyFont="1" applyFill="1" applyBorder="1" applyAlignment="1">
      <alignment wrapText="1"/>
    </xf>
    <xf numFmtId="44" fontId="3" fillId="0" borderId="6" xfId="1" applyFont="1" applyFill="1" applyBorder="1"/>
    <xf numFmtId="0" fontId="8" fillId="0" borderId="4" xfId="0" applyFont="1" applyBorder="1"/>
    <xf numFmtId="0" fontId="8" fillId="2" borderId="4" xfId="0" applyFont="1" applyFill="1" applyBorder="1"/>
    <xf numFmtId="0" fontId="5" fillId="2" borderId="1" xfId="0" applyFont="1" applyFill="1" applyBorder="1" applyAlignment="1">
      <alignment wrapText="1"/>
    </xf>
    <xf numFmtId="44" fontId="5" fillId="2" borderId="25" xfId="1" applyFont="1" applyFill="1" applyBorder="1"/>
    <xf numFmtId="44" fontId="5" fillId="2" borderId="20" xfId="1" applyFont="1" applyFill="1" applyBorder="1"/>
    <xf numFmtId="44" fontId="3" fillId="0" borderId="25" xfId="1" applyFont="1" applyFill="1" applyBorder="1"/>
    <xf numFmtId="10" fontId="3" fillId="0" borderId="20" xfId="2" applyNumberFormat="1" applyFont="1" applyFill="1" applyBorder="1"/>
    <xf numFmtId="10" fontId="6" fillId="0" borderId="20" xfId="2" applyNumberFormat="1" applyFont="1" applyFill="1" applyBorder="1"/>
    <xf numFmtId="10" fontId="3" fillId="2" borderId="0" xfId="2" applyNumberFormat="1" applyFont="1" applyFill="1" applyBorder="1"/>
    <xf numFmtId="10" fontId="6" fillId="2" borderId="0" xfId="2" applyNumberFormat="1" applyFont="1" applyFill="1" applyBorder="1"/>
    <xf numFmtId="10" fontId="3" fillId="0" borderId="0" xfId="2" applyNumberFormat="1" applyFont="1" applyFill="1" applyBorder="1"/>
    <xf numFmtId="10" fontId="6" fillId="0" borderId="0" xfId="2" applyNumberFormat="1" applyFont="1" applyFill="1" applyBorder="1"/>
    <xf numFmtId="0" fontId="5" fillId="2" borderId="26" xfId="0" applyFont="1" applyFill="1" applyBorder="1"/>
    <xf numFmtId="0" fontId="5" fillId="2" borderId="2" xfId="0" applyFont="1" applyFill="1" applyBorder="1"/>
    <xf numFmtId="44" fontId="5" fillId="0" borderId="9" xfId="0" applyNumberFormat="1" applyFont="1" applyBorder="1"/>
    <xf numFmtId="0" fontId="5" fillId="0" borderId="8" xfId="0" applyFont="1" applyBorder="1"/>
    <xf numFmtId="0" fontId="5" fillId="0" borderId="7" xfId="0" applyFont="1" applyBorder="1" applyAlignment="1">
      <alignment horizontal="right" wrapText="1"/>
    </xf>
    <xf numFmtId="10" fontId="2" fillId="2" borderId="25" xfId="2" applyNumberFormat="1" applyFont="1" applyFill="1" applyBorder="1"/>
    <xf numFmtId="0" fontId="0" fillId="2" borderId="20" xfId="0" applyFill="1" applyBorder="1"/>
    <xf numFmtId="0" fontId="0" fillId="2" borderId="21" xfId="0" applyFill="1" applyBorder="1" applyAlignment="1">
      <alignment horizontal="center"/>
    </xf>
    <xf numFmtId="44" fontId="2" fillId="0" borderId="6" xfId="0" applyNumberFormat="1" applyFont="1" applyBorder="1"/>
    <xf numFmtId="0" fontId="0" fillId="0" borderId="5" xfId="0" applyBorder="1" applyAlignment="1">
      <alignment horizontal="center"/>
    </xf>
    <xf numFmtId="44" fontId="2" fillId="2" borderId="6" xfId="1" applyFont="1" applyFill="1" applyBorder="1"/>
    <xf numFmtId="0" fontId="0" fillId="2" borderId="5" xfId="0" applyFill="1" applyBorder="1" applyAlignment="1">
      <alignment horizontal="center"/>
    </xf>
    <xf numFmtId="44" fontId="2" fillId="0" borderId="6" xfId="1" applyFont="1" applyBorder="1"/>
    <xf numFmtId="9" fontId="9" fillId="0" borderId="0" xfId="0" applyNumberFormat="1" applyFont="1"/>
    <xf numFmtId="0" fontId="3" fillId="0" borderId="26" xfId="0" applyFont="1" applyBorder="1"/>
    <xf numFmtId="0" fontId="3" fillId="0" borderId="2" xfId="0" applyFont="1" applyBorder="1"/>
    <xf numFmtId="0" fontId="3" fillId="0" borderId="1" xfId="0" applyFont="1" applyBorder="1" applyAlignment="1">
      <alignment horizontal="center" wrapText="1"/>
    </xf>
    <xf numFmtId="0" fontId="5" fillId="0" borderId="26" xfId="0" applyFont="1" applyBorder="1"/>
    <xf numFmtId="0" fontId="5" fillId="0" borderId="2" xfId="0" applyFont="1" applyBorder="1"/>
    <xf numFmtId="44" fontId="0" fillId="0" borderId="0" xfId="0" applyNumberFormat="1"/>
    <xf numFmtId="164" fontId="0" fillId="0" borderId="0" xfId="0" applyNumberFormat="1"/>
    <xf numFmtId="164" fontId="0" fillId="0" borderId="12" xfId="0" applyNumberFormat="1" applyBorder="1"/>
    <xf numFmtId="164" fontId="0" fillId="0" borderId="15" xfId="0" applyNumberFormat="1" applyBorder="1"/>
    <xf numFmtId="164" fontId="0" fillId="0" borderId="4" xfId="0" applyNumberFormat="1" applyBorder="1"/>
    <xf numFmtId="164" fontId="0" fillId="0" borderId="10" xfId="0" applyNumberFormat="1" applyBorder="1"/>
    <xf numFmtId="44" fontId="0" fillId="0" borderId="0" xfId="1" applyFont="1" applyBorder="1"/>
    <xf numFmtId="44" fontId="0" fillId="0" borderId="12" xfId="1" applyFont="1" applyBorder="1"/>
    <xf numFmtId="0" fontId="2" fillId="0" borderId="0" xfId="0" applyFont="1"/>
    <xf numFmtId="0" fontId="2" fillId="0" borderId="11" xfId="0" applyFont="1" applyBorder="1"/>
    <xf numFmtId="0" fontId="2" fillId="0" borderId="12" xfId="0" applyFont="1" applyBorder="1"/>
    <xf numFmtId="164" fontId="0" fillId="0" borderId="12" xfId="1" applyNumberFormat="1" applyFont="1" applyBorder="1"/>
    <xf numFmtId="164" fontId="0" fillId="0" borderId="4" xfId="1" applyNumberFormat="1" applyFont="1" applyBorder="1"/>
    <xf numFmtId="44" fontId="0" fillId="0" borderId="0" xfId="1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2" fontId="0" fillId="0" borderId="0" xfId="1" applyNumberFormat="1" applyFont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9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Currency" xfId="1" builtinId="4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FFC12-4B3C-479B-B0DC-844B6AAD97BF}">
  <dimension ref="A1:LD90"/>
  <sheetViews>
    <sheetView topLeftCell="A7" zoomScale="80" zoomScaleNormal="80" workbookViewId="0">
      <selection activeCell="I23" sqref="A1:XFD1048576"/>
    </sheetView>
  </sheetViews>
  <sheetFormatPr defaultColWidth="8.88671875" defaultRowHeight="14.4" x14ac:dyDescent="0.3"/>
  <cols>
    <col min="1" max="1" width="31.6640625" style="1" customWidth="1"/>
    <col min="2" max="2" width="17.6640625" bestFit="1" customWidth="1"/>
    <col min="3" max="3" width="15.6640625" bestFit="1" customWidth="1"/>
    <col min="4" max="4" width="17.6640625" bestFit="1" customWidth="1"/>
    <col min="5" max="5" width="16.33203125" bestFit="1" customWidth="1"/>
    <col min="6" max="6" width="13.6640625" bestFit="1" customWidth="1"/>
    <col min="7" max="7" width="15.5546875" customWidth="1"/>
    <col min="8" max="8" width="3.33203125" bestFit="1" customWidth="1"/>
    <col min="9" max="9" width="79.109375" customWidth="1"/>
    <col min="10" max="10" width="4.44140625" bestFit="1" customWidth="1"/>
    <col min="11" max="11" width="14.5546875" bestFit="1" customWidth="1"/>
  </cols>
  <sheetData>
    <row r="1" spans="1:316" ht="28.8" x14ac:dyDescent="0.3">
      <c r="A1" s="59" t="s">
        <v>117</v>
      </c>
      <c r="B1" s="109" t="s">
        <v>116</v>
      </c>
      <c r="C1" s="58" t="s">
        <v>124</v>
      </c>
      <c r="D1" s="58" t="s">
        <v>125</v>
      </c>
      <c r="E1" s="108" t="s">
        <v>115</v>
      </c>
      <c r="F1" s="4"/>
      <c r="G1" s="4"/>
      <c r="H1" s="107" t="s">
        <v>114</v>
      </c>
      <c r="I1" s="106" t="s">
        <v>126</v>
      </c>
      <c r="J1" s="106" t="s">
        <v>113</v>
      </c>
      <c r="K1" s="105" t="s">
        <v>127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W1" s="4"/>
      <c r="FX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  <c r="JK1" s="4"/>
      <c r="JL1" s="4"/>
      <c r="JM1" s="4"/>
      <c r="JN1" s="4"/>
      <c r="JO1" s="4"/>
      <c r="JP1" s="4"/>
      <c r="JQ1" s="4"/>
      <c r="JR1" s="4"/>
      <c r="JS1" s="4"/>
      <c r="JT1" s="4"/>
      <c r="JU1" s="4"/>
      <c r="JV1" s="4"/>
      <c r="JW1" s="4"/>
      <c r="JX1" s="4"/>
      <c r="JY1" s="4"/>
      <c r="JZ1" s="4"/>
      <c r="KA1" s="4"/>
      <c r="KB1" s="4"/>
      <c r="KC1" s="4"/>
      <c r="KD1" s="4"/>
      <c r="KE1" s="4"/>
      <c r="KF1" s="4"/>
      <c r="KG1" s="4"/>
      <c r="KH1" s="4"/>
      <c r="KI1" s="4"/>
      <c r="KJ1" s="4"/>
      <c r="KK1" s="4"/>
      <c r="KL1" s="4"/>
      <c r="KM1" s="4"/>
      <c r="KN1" s="4"/>
      <c r="KO1" s="4"/>
      <c r="KP1" s="4"/>
      <c r="KQ1" s="4"/>
      <c r="KR1" s="4"/>
      <c r="KS1" s="4"/>
      <c r="KT1" s="4"/>
      <c r="KU1" s="4"/>
      <c r="KV1" s="4"/>
      <c r="KW1" s="4"/>
      <c r="KX1" s="4"/>
      <c r="KY1" s="4"/>
      <c r="KZ1" s="4"/>
      <c r="LA1" s="4"/>
      <c r="LB1" s="4"/>
      <c r="LC1" s="4"/>
      <c r="LD1" s="4"/>
    </row>
    <row r="2" spans="1:316" s="15" customFormat="1" x14ac:dyDescent="0.3">
      <c r="A2" s="29" t="s">
        <v>118</v>
      </c>
      <c r="B2" s="64">
        <v>1</v>
      </c>
      <c r="C2" s="65">
        <v>76243</v>
      </c>
      <c r="D2" s="65">
        <v>91781.35</v>
      </c>
      <c r="E2" s="25">
        <f t="shared" ref="E2:E10" si="0">B2*D2</f>
        <v>91781.35</v>
      </c>
      <c r="F2" s="4"/>
      <c r="G2" s="4"/>
      <c r="H2" s="102">
        <v>1</v>
      </c>
      <c r="I2" s="15" t="s">
        <v>128</v>
      </c>
      <c r="K2" s="101">
        <f>D24</f>
        <v>246372.66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</row>
    <row r="3" spans="1:316" x14ac:dyDescent="0.3">
      <c r="A3" s="32" t="s">
        <v>104</v>
      </c>
      <c r="B3" s="67">
        <v>1</v>
      </c>
      <c r="C3" s="68">
        <v>40550</v>
      </c>
      <c r="D3" s="68">
        <v>53039.4</v>
      </c>
      <c r="E3" s="78">
        <f t="shared" si="0"/>
        <v>53039.4</v>
      </c>
      <c r="F3" s="4"/>
      <c r="G3" s="4"/>
      <c r="H3" s="100">
        <v>2</v>
      </c>
      <c r="I3" t="s">
        <v>129</v>
      </c>
      <c r="K3" s="103">
        <f>B75</f>
        <v>335500.22000000003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  <c r="KK3" s="4"/>
      <c r="KL3" s="4"/>
      <c r="KM3" s="4"/>
      <c r="KN3" s="4"/>
      <c r="KO3" s="4"/>
      <c r="KP3" s="4"/>
      <c r="KQ3" s="4"/>
      <c r="KR3" s="4"/>
      <c r="KS3" s="4"/>
      <c r="KT3" s="4"/>
      <c r="KU3" s="4"/>
      <c r="KV3" s="4"/>
      <c r="KW3" s="4"/>
      <c r="KX3" s="4"/>
      <c r="KY3" s="4"/>
      <c r="KZ3" s="4"/>
      <c r="LA3" s="4"/>
      <c r="LB3" s="4"/>
      <c r="LC3" s="4"/>
      <c r="LD3" s="4"/>
    </row>
    <row r="4" spans="1:316" s="15" customFormat="1" x14ac:dyDescent="0.3">
      <c r="A4" s="29" t="s">
        <v>119</v>
      </c>
      <c r="B4" s="64">
        <v>1</v>
      </c>
      <c r="C4" s="65">
        <v>25135</v>
      </c>
      <c r="D4" s="65">
        <v>32876.58</v>
      </c>
      <c r="E4" s="25">
        <f t="shared" si="0"/>
        <v>32876.58</v>
      </c>
      <c r="F4" s="4"/>
      <c r="G4" s="4"/>
      <c r="H4" s="102">
        <v>3</v>
      </c>
      <c r="I4" s="15" t="s">
        <v>130</v>
      </c>
      <c r="K4" s="101">
        <f>K2+K3</f>
        <v>581872.88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  <c r="IY4" s="4"/>
      <c r="IZ4" s="4"/>
      <c r="JA4" s="4"/>
      <c r="JB4" s="4"/>
      <c r="JC4" s="4"/>
      <c r="JD4" s="4"/>
      <c r="JE4" s="4"/>
      <c r="JF4" s="4"/>
      <c r="JG4" s="4"/>
      <c r="JH4" s="4"/>
      <c r="JI4" s="4"/>
      <c r="JJ4" s="4"/>
      <c r="JK4" s="4"/>
      <c r="JL4" s="4"/>
      <c r="JM4" s="4"/>
      <c r="JN4" s="4"/>
      <c r="JO4" s="4"/>
      <c r="JP4" s="4"/>
      <c r="JQ4" s="4"/>
      <c r="JR4" s="4"/>
      <c r="JS4" s="4"/>
      <c r="JT4" s="4"/>
      <c r="JU4" s="4"/>
      <c r="JV4" s="4"/>
      <c r="JW4" s="4"/>
      <c r="JX4" s="4"/>
      <c r="JY4" s="4"/>
      <c r="JZ4" s="4"/>
      <c r="KA4" s="4"/>
      <c r="KB4" s="4"/>
      <c r="KC4" s="4"/>
      <c r="KD4" s="4"/>
      <c r="KE4" s="4"/>
      <c r="KF4" s="4"/>
      <c r="KG4" s="4"/>
      <c r="KH4" s="4"/>
      <c r="KI4" s="4"/>
      <c r="KJ4" s="4"/>
      <c r="KK4" s="4"/>
      <c r="KL4" s="4"/>
      <c r="KM4" s="4"/>
      <c r="KN4" s="4"/>
      <c r="KO4" s="4"/>
      <c r="KP4" s="4"/>
      <c r="KQ4" s="4"/>
      <c r="KR4" s="4"/>
      <c r="KS4" s="4"/>
      <c r="KT4" s="4"/>
      <c r="KU4" s="4"/>
      <c r="KV4" s="4"/>
      <c r="KW4" s="4"/>
      <c r="KX4" s="4"/>
      <c r="KY4" s="4"/>
      <c r="KZ4" s="4"/>
      <c r="LA4" s="4"/>
      <c r="LB4" s="4"/>
      <c r="LC4" s="4"/>
      <c r="LD4" s="4"/>
    </row>
    <row r="5" spans="1:316" x14ac:dyDescent="0.3">
      <c r="A5" s="32" t="s">
        <v>120</v>
      </c>
      <c r="B5" s="67">
        <v>1</v>
      </c>
      <c r="C5" s="68">
        <v>35574</v>
      </c>
      <c r="D5" s="68">
        <v>46530.79</v>
      </c>
      <c r="E5" s="78">
        <f t="shared" si="0"/>
        <v>46530.79</v>
      </c>
      <c r="F5" s="4"/>
      <c r="G5" s="4"/>
      <c r="H5" s="100">
        <v>4</v>
      </c>
      <c r="I5" t="s">
        <v>131</v>
      </c>
      <c r="J5" s="104">
        <v>0.25</v>
      </c>
      <c r="K5" s="103">
        <f>K4*J5</f>
        <v>145468.22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  <c r="KK5" s="4"/>
      <c r="KL5" s="4"/>
      <c r="KM5" s="4"/>
      <c r="KN5" s="4"/>
      <c r="KO5" s="4"/>
      <c r="KP5" s="4"/>
      <c r="KQ5" s="4"/>
      <c r="KR5" s="4"/>
      <c r="KS5" s="4"/>
      <c r="KT5" s="4"/>
      <c r="KU5" s="4"/>
      <c r="KV5" s="4"/>
      <c r="KW5" s="4"/>
      <c r="KX5" s="4"/>
      <c r="KY5" s="4"/>
      <c r="KZ5" s="4"/>
      <c r="LA5" s="4"/>
      <c r="LB5" s="4"/>
      <c r="LC5" s="4"/>
      <c r="LD5" s="4"/>
    </row>
    <row r="6" spans="1:316" s="15" customFormat="1" x14ac:dyDescent="0.3">
      <c r="A6" s="29" t="s">
        <v>107</v>
      </c>
      <c r="B6" s="64">
        <v>1</v>
      </c>
      <c r="C6" s="65">
        <v>41988</v>
      </c>
      <c r="D6" s="65">
        <v>54920.3</v>
      </c>
      <c r="E6" s="25">
        <f t="shared" si="0"/>
        <v>54920.3</v>
      </c>
      <c r="F6" s="4"/>
      <c r="G6" s="4"/>
      <c r="H6" s="102">
        <v>5</v>
      </c>
      <c r="I6" s="15" t="s">
        <v>132</v>
      </c>
      <c r="K6" s="101">
        <f>K4+K5</f>
        <v>727341.1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4"/>
      <c r="KU6" s="4"/>
      <c r="KV6" s="4"/>
      <c r="KW6" s="4"/>
      <c r="KX6" s="4"/>
      <c r="KY6" s="4"/>
      <c r="KZ6" s="4"/>
      <c r="LA6" s="4"/>
      <c r="LB6" s="4"/>
      <c r="LC6" s="4"/>
      <c r="LD6" s="4"/>
    </row>
    <row r="7" spans="1:316" x14ac:dyDescent="0.3">
      <c r="A7" s="32" t="s">
        <v>108</v>
      </c>
      <c r="B7" s="67">
        <v>1</v>
      </c>
      <c r="C7" s="68">
        <v>44369</v>
      </c>
      <c r="D7" s="68">
        <v>58034.65</v>
      </c>
      <c r="E7" s="78">
        <f t="shared" si="0"/>
        <v>58034.65</v>
      </c>
      <c r="F7" s="4"/>
      <c r="G7" s="4"/>
      <c r="H7" s="100">
        <v>6</v>
      </c>
      <c r="I7" t="s">
        <v>133</v>
      </c>
      <c r="K7" s="99">
        <f>E90</f>
        <v>781150.63500000001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  <c r="KK7" s="4"/>
      <c r="KL7" s="4"/>
      <c r="KM7" s="4"/>
      <c r="KN7" s="4"/>
      <c r="KO7" s="4"/>
      <c r="KP7" s="4"/>
      <c r="KQ7" s="4"/>
      <c r="KR7" s="4"/>
      <c r="KS7" s="4"/>
      <c r="KT7" s="4"/>
      <c r="KU7" s="4"/>
      <c r="KV7" s="4"/>
      <c r="KW7" s="4"/>
      <c r="KX7" s="4"/>
      <c r="KY7" s="4"/>
      <c r="KZ7" s="4"/>
      <c r="LA7" s="4"/>
      <c r="LB7" s="4"/>
      <c r="LC7" s="4"/>
      <c r="LD7" s="4"/>
    </row>
    <row r="8" spans="1:316" s="15" customFormat="1" ht="15" thickBot="1" x14ac:dyDescent="0.35">
      <c r="A8" s="29" t="s">
        <v>121</v>
      </c>
      <c r="B8" s="64">
        <v>2</v>
      </c>
      <c r="C8" s="65">
        <v>39879</v>
      </c>
      <c r="D8" s="65">
        <v>52161.73</v>
      </c>
      <c r="E8" s="25">
        <f t="shared" si="0"/>
        <v>104323.46</v>
      </c>
      <c r="F8" s="4"/>
      <c r="G8" s="4"/>
      <c r="H8" s="98">
        <v>7</v>
      </c>
      <c r="I8" s="97" t="s">
        <v>134</v>
      </c>
      <c r="J8" s="97"/>
      <c r="K8" s="96">
        <f>IFERROR((K7-K6)/K6,"sin valor")</f>
        <v>7.3981155471621277E-2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  <c r="KK8" s="4"/>
      <c r="KL8" s="4"/>
      <c r="KM8" s="4"/>
      <c r="KN8" s="4"/>
      <c r="KO8" s="4"/>
      <c r="KP8" s="4"/>
      <c r="KQ8" s="4"/>
      <c r="KR8" s="4"/>
      <c r="KS8" s="4"/>
      <c r="KT8" s="4"/>
      <c r="KU8" s="4"/>
      <c r="KV8" s="4"/>
      <c r="KW8" s="4"/>
      <c r="KX8" s="4"/>
      <c r="KY8" s="4"/>
      <c r="KZ8" s="4"/>
      <c r="LA8" s="4"/>
      <c r="LB8" s="4"/>
      <c r="LC8" s="4"/>
      <c r="LD8" s="4"/>
    </row>
    <row r="9" spans="1:316" x14ac:dyDescent="0.3">
      <c r="A9" s="32" t="s">
        <v>122</v>
      </c>
      <c r="B9" s="67">
        <v>4</v>
      </c>
      <c r="C9" s="68">
        <v>25872</v>
      </c>
      <c r="D9" s="68">
        <v>33840.58</v>
      </c>
      <c r="E9" s="78">
        <f t="shared" si="0"/>
        <v>135362.32</v>
      </c>
      <c r="F9" s="4"/>
      <c r="G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/>
      <c r="JL9" s="4"/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4"/>
      <c r="KH9" s="4"/>
      <c r="KI9" s="4"/>
      <c r="KJ9" s="4"/>
      <c r="KK9" s="4"/>
      <c r="KL9" s="4"/>
      <c r="KM9" s="4"/>
      <c r="KN9" s="4"/>
      <c r="KO9" s="4"/>
      <c r="KP9" s="4"/>
      <c r="KQ9" s="4"/>
      <c r="KR9" s="4"/>
      <c r="KS9" s="4"/>
      <c r="KT9" s="4"/>
      <c r="KU9" s="4"/>
      <c r="KV9" s="4"/>
      <c r="KW9" s="4"/>
      <c r="KX9" s="4"/>
      <c r="KY9" s="4"/>
      <c r="KZ9" s="4"/>
      <c r="LA9" s="4"/>
      <c r="LB9" s="4"/>
      <c r="LC9" s="4"/>
      <c r="LD9" s="4"/>
    </row>
    <row r="10" spans="1:316" s="15" customFormat="1" ht="15" thickBot="1" x14ac:dyDescent="0.35">
      <c r="A10" s="29" t="s">
        <v>123</v>
      </c>
      <c r="B10" s="64">
        <v>1</v>
      </c>
      <c r="C10" s="65">
        <v>26849</v>
      </c>
      <c r="D10" s="65">
        <v>35118.49</v>
      </c>
      <c r="E10" s="25">
        <f t="shared" si="0"/>
        <v>35118.49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</row>
    <row r="11" spans="1:316" ht="15" thickBot="1" x14ac:dyDescent="0.35">
      <c r="A11" s="95" t="s">
        <v>111</v>
      </c>
      <c r="B11" s="94">
        <f>SUM(B2:B10)</f>
        <v>13</v>
      </c>
      <c r="C11" s="94"/>
      <c r="D11" s="94"/>
      <c r="E11" s="93">
        <f>SUM(E2:E10)</f>
        <v>611987.34000000008</v>
      </c>
      <c r="F11" s="4"/>
      <c r="G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</row>
    <row r="12" spans="1:316" x14ac:dyDescent="0.3">
      <c r="F12" s="4"/>
      <c r="G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  <c r="KK12" s="4"/>
      <c r="KL12" s="4"/>
      <c r="KM12" s="4"/>
      <c r="KN12" s="4"/>
      <c r="KO12" s="4"/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4"/>
      <c r="LB12" s="4"/>
      <c r="LC12" s="4"/>
      <c r="LD12" s="4"/>
    </row>
    <row r="13" spans="1:316" ht="15" thickBot="1" x14ac:dyDescent="0.35">
      <c r="A13" s="3"/>
      <c r="B13" s="4"/>
      <c r="C13" s="4"/>
      <c r="D13" s="4"/>
      <c r="E13" s="4"/>
      <c r="F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/>
      <c r="HK13" s="4"/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4"/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  <c r="IY13" s="4"/>
      <c r="IZ13" s="4"/>
      <c r="JA13" s="4"/>
      <c r="JB13" s="4"/>
      <c r="JC13" s="4"/>
      <c r="JD13" s="4"/>
      <c r="JE13" s="4"/>
      <c r="JF13" s="4"/>
      <c r="JG13" s="4"/>
      <c r="JH13" s="4"/>
      <c r="JI13" s="4"/>
      <c r="JJ13" s="4"/>
      <c r="JK13" s="4"/>
      <c r="JL13" s="4"/>
      <c r="JM13" s="4"/>
      <c r="JN13" s="4"/>
      <c r="JO13" s="4"/>
      <c r="JP13" s="4"/>
      <c r="JQ13" s="4"/>
      <c r="JR13" s="4"/>
      <c r="JS13" s="4"/>
      <c r="JT13" s="4"/>
      <c r="JU13" s="4"/>
      <c r="JV13" s="4"/>
      <c r="JW13" s="4"/>
      <c r="JX13" s="4"/>
      <c r="JY13" s="4"/>
      <c r="JZ13" s="4"/>
      <c r="KA13" s="4"/>
      <c r="KB13" s="4"/>
      <c r="KC13" s="4"/>
      <c r="KD13" s="4"/>
      <c r="KE13" s="4"/>
      <c r="KF13" s="4"/>
      <c r="KG13" s="4"/>
      <c r="KH13" s="4"/>
      <c r="KI13" s="4"/>
      <c r="KJ13" s="4"/>
      <c r="KK13" s="4"/>
      <c r="KL13" s="4"/>
      <c r="KM13" s="4"/>
      <c r="KN13" s="4"/>
      <c r="KO13" s="4"/>
      <c r="KP13" s="4"/>
      <c r="KQ13" s="4"/>
      <c r="KR13" s="4"/>
      <c r="KS13" s="4"/>
      <c r="KT13" s="4"/>
      <c r="KU13" s="4"/>
      <c r="KV13" s="4"/>
      <c r="KW13" s="4"/>
      <c r="KX13" s="4"/>
      <c r="KY13" s="4"/>
      <c r="KZ13" s="4"/>
      <c r="LA13" s="4"/>
      <c r="LB13" s="4"/>
      <c r="LC13" s="4"/>
      <c r="LD13" s="4"/>
    </row>
    <row r="14" spans="1:316" s="15" customFormat="1" x14ac:dyDescent="0.3">
      <c r="A14" s="81" t="s">
        <v>117</v>
      </c>
      <c r="B14" s="92" t="s">
        <v>111</v>
      </c>
      <c r="C14" s="74" t="s">
        <v>112</v>
      </c>
      <c r="D14" s="92" t="s">
        <v>135</v>
      </c>
      <c r="E14" s="74" t="s">
        <v>136</v>
      </c>
      <c r="F14" s="91" t="s">
        <v>137</v>
      </c>
      <c r="G14"/>
      <c r="H14"/>
      <c r="I14"/>
      <c r="J14"/>
      <c r="K1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4"/>
      <c r="KL14" s="4"/>
      <c r="KM14" s="4"/>
      <c r="KN14" s="4"/>
      <c r="KO14" s="4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</row>
    <row r="15" spans="1:316" x14ac:dyDescent="0.3">
      <c r="A15" s="32" t="s">
        <v>118</v>
      </c>
      <c r="B15" s="31">
        <f t="shared" ref="B15:B23" si="1">D2</f>
        <v>91781.35</v>
      </c>
      <c r="C15" s="90">
        <v>0</v>
      </c>
      <c r="D15" s="31">
        <f t="shared" ref="D15:D23" si="2">ROUND(B15*C15,2)</f>
        <v>0</v>
      </c>
      <c r="E15" s="89">
        <f t="shared" ref="E15:E23" si="3">1-C15</f>
        <v>1</v>
      </c>
      <c r="F15" s="78">
        <f t="shared" ref="F15:F23" si="4">ROUND(B15*E15,2)</f>
        <v>91781.35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/>
      <c r="JL15" s="4"/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4"/>
      <c r="KH15" s="4"/>
      <c r="KI15" s="4"/>
      <c r="KJ15" s="4"/>
      <c r="KK15" s="4"/>
      <c r="KL15" s="4"/>
      <c r="KM15" s="4"/>
      <c r="KN15" s="4"/>
      <c r="KO15" s="4"/>
      <c r="KP15" s="4"/>
      <c r="KQ15" s="4"/>
      <c r="KR15" s="4"/>
      <c r="KS15" s="4"/>
      <c r="KT15" s="4"/>
      <c r="KU15" s="4"/>
      <c r="KV15" s="4"/>
      <c r="KW15" s="4"/>
      <c r="KX15" s="4"/>
      <c r="KY15" s="4"/>
      <c r="KZ15" s="4"/>
      <c r="LA15" s="4"/>
      <c r="LB15" s="4"/>
      <c r="LC15" s="4"/>
      <c r="LD15" s="4"/>
    </row>
    <row r="16" spans="1:316" s="15" customFormat="1" x14ac:dyDescent="0.3">
      <c r="A16" s="29" t="s">
        <v>104</v>
      </c>
      <c r="B16" s="28">
        <f t="shared" si="1"/>
        <v>53039.4</v>
      </c>
      <c r="C16" s="88">
        <v>0.65</v>
      </c>
      <c r="D16" s="28">
        <f t="shared" si="2"/>
        <v>34475.61</v>
      </c>
      <c r="E16" s="87">
        <f t="shared" si="3"/>
        <v>0.35</v>
      </c>
      <c r="F16" s="25">
        <f t="shared" si="4"/>
        <v>18563.79</v>
      </c>
      <c r="G16"/>
      <c r="H16"/>
      <c r="I16"/>
      <c r="J16"/>
      <c r="K16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4"/>
      <c r="GF16" s="4"/>
      <c r="GG16" s="4"/>
      <c r="GH16" s="4"/>
      <c r="GI16" s="4"/>
      <c r="GJ16" s="4"/>
      <c r="GK16" s="4"/>
      <c r="GL16" s="4"/>
      <c r="GM16" s="4"/>
      <c r="GN16" s="4"/>
      <c r="GO16" s="4"/>
      <c r="GP16" s="4"/>
      <c r="GQ16" s="4"/>
      <c r="GR16" s="4"/>
      <c r="GS16" s="4"/>
      <c r="GT16" s="4"/>
      <c r="GU16" s="4"/>
      <c r="GV16" s="4"/>
      <c r="GW16" s="4"/>
      <c r="GX16" s="4"/>
      <c r="GY16" s="4"/>
      <c r="GZ16" s="4"/>
      <c r="HA16" s="4"/>
      <c r="HB16" s="4"/>
      <c r="HC16" s="4"/>
      <c r="HD16" s="4"/>
      <c r="HE16" s="4"/>
      <c r="HF16" s="4"/>
      <c r="HG16" s="4"/>
      <c r="HH16" s="4"/>
      <c r="HI16" s="4"/>
      <c r="HJ16" s="4"/>
      <c r="HK16" s="4"/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4"/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  <c r="IY16" s="4"/>
      <c r="IZ16" s="4"/>
      <c r="JA16" s="4"/>
      <c r="JB16" s="4"/>
      <c r="JC16" s="4"/>
      <c r="JD16" s="4"/>
      <c r="JE16" s="4"/>
      <c r="JF16" s="4"/>
      <c r="JG16" s="4"/>
      <c r="JH16" s="4"/>
      <c r="JI16" s="4"/>
      <c r="JJ16" s="4"/>
      <c r="JK16" s="4"/>
      <c r="JL16" s="4"/>
      <c r="JM16" s="4"/>
      <c r="JN16" s="4"/>
      <c r="JO16" s="4"/>
      <c r="JP16" s="4"/>
      <c r="JQ16" s="4"/>
      <c r="JR16" s="4"/>
      <c r="JS16" s="4"/>
      <c r="JT16" s="4"/>
      <c r="JU16" s="4"/>
      <c r="JV16" s="4"/>
      <c r="JW16" s="4"/>
      <c r="JX16" s="4"/>
      <c r="JY16" s="4"/>
      <c r="JZ16" s="4"/>
      <c r="KA16" s="4"/>
      <c r="KB16" s="4"/>
      <c r="KC16" s="4"/>
      <c r="KD16" s="4"/>
      <c r="KE16" s="4"/>
      <c r="KF16" s="4"/>
      <c r="KG16" s="4"/>
      <c r="KH16" s="4"/>
      <c r="KI16" s="4"/>
      <c r="KJ16" s="4"/>
      <c r="KK16" s="4"/>
      <c r="KL16" s="4"/>
      <c r="KM16" s="4"/>
      <c r="KN16" s="4"/>
      <c r="KO16" s="4"/>
      <c r="KP16" s="4"/>
      <c r="KQ16" s="4"/>
      <c r="KR16" s="4"/>
      <c r="KS16" s="4"/>
      <c r="KT16" s="4"/>
      <c r="KU16" s="4"/>
      <c r="KV16" s="4"/>
      <c r="KW16" s="4"/>
      <c r="KX16" s="4"/>
      <c r="KY16" s="4"/>
      <c r="KZ16" s="4"/>
      <c r="LA16" s="4"/>
      <c r="LB16" s="4"/>
      <c r="LC16" s="4"/>
      <c r="LD16" s="4"/>
    </row>
    <row r="17" spans="1:316" x14ac:dyDescent="0.3">
      <c r="A17" s="32" t="s">
        <v>119</v>
      </c>
      <c r="B17" s="31">
        <f t="shared" si="1"/>
        <v>32876.58</v>
      </c>
      <c r="C17" s="90">
        <v>0.5</v>
      </c>
      <c r="D17" s="31">
        <f t="shared" si="2"/>
        <v>16438.29</v>
      </c>
      <c r="E17" s="89">
        <f t="shared" si="3"/>
        <v>0.5</v>
      </c>
      <c r="F17" s="78">
        <f t="shared" si="4"/>
        <v>16438.29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/>
      <c r="JL17" s="4"/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4"/>
      <c r="KH17" s="4"/>
      <c r="KI17" s="4"/>
      <c r="KJ17" s="4"/>
      <c r="KK17" s="4"/>
      <c r="KL17" s="4"/>
      <c r="KM17" s="4"/>
      <c r="KN17" s="4"/>
      <c r="KO17" s="4"/>
      <c r="KP17" s="4"/>
      <c r="KQ17" s="4"/>
      <c r="KR17" s="4"/>
      <c r="KS17" s="4"/>
      <c r="KT17" s="4"/>
      <c r="KU17" s="4"/>
      <c r="KV17" s="4"/>
      <c r="KW17" s="4"/>
      <c r="KX17" s="4"/>
      <c r="KY17" s="4"/>
      <c r="KZ17" s="4"/>
      <c r="LA17" s="4"/>
      <c r="LB17" s="4"/>
      <c r="LC17" s="4"/>
      <c r="LD17" s="4"/>
    </row>
    <row r="18" spans="1:316" s="15" customFormat="1" x14ac:dyDescent="0.3">
      <c r="A18" s="29" t="s">
        <v>120</v>
      </c>
      <c r="B18" s="28">
        <f t="shared" si="1"/>
        <v>46530.79</v>
      </c>
      <c r="C18" s="88">
        <v>0.8</v>
      </c>
      <c r="D18" s="28">
        <f t="shared" si="2"/>
        <v>37224.629999999997</v>
      </c>
      <c r="E18" s="87">
        <f t="shared" si="3"/>
        <v>0.19999999999999996</v>
      </c>
      <c r="F18" s="25">
        <f t="shared" si="4"/>
        <v>9306.16</v>
      </c>
      <c r="G18"/>
      <c r="H18"/>
      <c r="I18"/>
      <c r="J18"/>
      <c r="K18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  <c r="IY18" s="4"/>
      <c r="IZ18" s="4"/>
      <c r="JA18" s="4"/>
      <c r="JB18" s="4"/>
      <c r="JC18" s="4"/>
      <c r="JD18" s="4"/>
      <c r="JE18" s="4"/>
      <c r="JF18" s="4"/>
      <c r="JG18" s="4"/>
      <c r="JH18" s="4"/>
      <c r="JI18" s="4"/>
      <c r="JJ18" s="4"/>
      <c r="JK18" s="4"/>
      <c r="JL18" s="4"/>
      <c r="JM18" s="4"/>
      <c r="JN18" s="4"/>
      <c r="JO18" s="4"/>
      <c r="JP18" s="4"/>
      <c r="JQ18" s="4"/>
      <c r="JR18" s="4"/>
      <c r="JS18" s="4"/>
      <c r="JT18" s="4"/>
      <c r="JU18" s="4"/>
      <c r="JV18" s="4"/>
      <c r="JW18" s="4"/>
      <c r="JX18" s="4"/>
      <c r="JY18" s="4"/>
      <c r="JZ18" s="4"/>
      <c r="KA18" s="4"/>
      <c r="KB18" s="4"/>
      <c r="KC18" s="4"/>
      <c r="KD18" s="4"/>
      <c r="KE18" s="4"/>
      <c r="KF18" s="4"/>
      <c r="KG18" s="4"/>
      <c r="KH18" s="4"/>
      <c r="KI18" s="4"/>
      <c r="KJ18" s="4"/>
      <c r="KK18" s="4"/>
      <c r="KL18" s="4"/>
      <c r="KM18" s="4"/>
      <c r="KN18" s="4"/>
      <c r="KO18" s="4"/>
      <c r="KP18" s="4"/>
      <c r="KQ18" s="4"/>
      <c r="KR18" s="4"/>
      <c r="KS18" s="4"/>
      <c r="KT18" s="4"/>
      <c r="KU18" s="4"/>
      <c r="KV18" s="4"/>
      <c r="KW18" s="4"/>
      <c r="KX18" s="4"/>
      <c r="KY18" s="4"/>
      <c r="KZ18" s="4"/>
      <c r="LA18" s="4"/>
      <c r="LB18" s="4"/>
      <c r="LC18" s="4"/>
      <c r="LD18" s="4"/>
    </row>
    <row r="19" spans="1:316" x14ac:dyDescent="0.3">
      <c r="A19" s="32" t="s">
        <v>107</v>
      </c>
      <c r="B19" s="31">
        <f t="shared" si="1"/>
        <v>54920.3</v>
      </c>
      <c r="C19" s="90">
        <v>0.85</v>
      </c>
      <c r="D19" s="31">
        <f t="shared" si="2"/>
        <v>46682.26</v>
      </c>
      <c r="E19" s="89">
        <f t="shared" si="3"/>
        <v>0.15000000000000002</v>
      </c>
      <c r="F19" s="78">
        <f t="shared" si="4"/>
        <v>8238.0499999999993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  <c r="IY19" s="4"/>
      <c r="IZ19" s="4"/>
      <c r="JA19" s="4"/>
      <c r="JB19" s="4"/>
      <c r="JC19" s="4"/>
      <c r="JD19" s="4"/>
      <c r="JE19" s="4"/>
      <c r="JF19" s="4"/>
      <c r="JG19" s="4"/>
      <c r="JH19" s="4"/>
      <c r="JI19" s="4"/>
      <c r="JJ19" s="4"/>
      <c r="JK19" s="4"/>
      <c r="JL19" s="4"/>
      <c r="JM19" s="4"/>
      <c r="JN19" s="4"/>
      <c r="JO19" s="4"/>
      <c r="JP19" s="4"/>
      <c r="JQ19" s="4"/>
      <c r="JR19" s="4"/>
      <c r="JS19" s="4"/>
      <c r="JT19" s="4"/>
      <c r="JU19" s="4"/>
      <c r="JV19" s="4"/>
      <c r="JW19" s="4"/>
      <c r="JX19" s="4"/>
      <c r="JY19" s="4"/>
      <c r="JZ19" s="4"/>
      <c r="KA19" s="4"/>
      <c r="KB19" s="4"/>
      <c r="KC19" s="4"/>
      <c r="KD19" s="4"/>
      <c r="KE19" s="4"/>
      <c r="KF19" s="4"/>
      <c r="KG19" s="4"/>
      <c r="KH19" s="4"/>
      <c r="KI19" s="4"/>
      <c r="KJ19" s="4"/>
      <c r="KK19" s="4"/>
      <c r="KL19" s="4"/>
      <c r="KM19" s="4"/>
      <c r="KN19" s="4"/>
      <c r="KO19" s="4"/>
      <c r="KP19" s="4"/>
      <c r="KQ19" s="4"/>
      <c r="KR19" s="4"/>
      <c r="KS19" s="4"/>
      <c r="KT19" s="4"/>
      <c r="KU19" s="4"/>
      <c r="KV19" s="4"/>
      <c r="KW19" s="4"/>
      <c r="KX19" s="4"/>
      <c r="KY19" s="4"/>
      <c r="KZ19" s="4"/>
      <c r="LA19" s="4"/>
      <c r="LB19" s="4"/>
      <c r="LC19" s="4"/>
      <c r="LD19" s="4"/>
    </row>
    <row r="20" spans="1:316" s="15" customFormat="1" x14ac:dyDescent="0.3">
      <c r="A20" s="29" t="s">
        <v>108</v>
      </c>
      <c r="B20" s="28">
        <f t="shared" si="1"/>
        <v>58034.65</v>
      </c>
      <c r="C20" s="88">
        <v>0.75</v>
      </c>
      <c r="D20" s="28">
        <f t="shared" si="2"/>
        <v>43525.99</v>
      </c>
      <c r="E20" s="87">
        <f t="shared" si="3"/>
        <v>0.25</v>
      </c>
      <c r="F20" s="25">
        <f t="shared" si="4"/>
        <v>14508.66</v>
      </c>
      <c r="G20"/>
      <c r="H20"/>
      <c r="I20"/>
      <c r="J20"/>
      <c r="K20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/>
      <c r="JL20" s="4"/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4"/>
      <c r="KH20" s="4"/>
      <c r="KI20" s="4"/>
      <c r="KJ20" s="4"/>
      <c r="KK20" s="4"/>
      <c r="KL20" s="4"/>
      <c r="KM20" s="4"/>
      <c r="KN20" s="4"/>
      <c r="KO20" s="4"/>
      <c r="KP20" s="4"/>
      <c r="KQ20" s="4"/>
      <c r="KR20" s="4"/>
      <c r="KS20" s="4"/>
      <c r="KT20" s="4"/>
      <c r="KU20" s="4"/>
      <c r="KV20" s="4"/>
      <c r="KW20" s="4"/>
      <c r="KX20" s="4"/>
      <c r="KY20" s="4"/>
      <c r="KZ20" s="4"/>
      <c r="LA20" s="4"/>
      <c r="LB20" s="4"/>
      <c r="LC20" s="4"/>
      <c r="LD20" s="4"/>
    </row>
    <row r="21" spans="1:316" x14ac:dyDescent="0.3">
      <c r="A21" s="32" t="s">
        <v>121</v>
      </c>
      <c r="B21" s="31">
        <f t="shared" si="1"/>
        <v>52161.73</v>
      </c>
      <c r="C21" s="90">
        <v>0.85</v>
      </c>
      <c r="D21" s="31">
        <f t="shared" si="2"/>
        <v>44337.47</v>
      </c>
      <c r="E21" s="89">
        <f t="shared" si="3"/>
        <v>0.15000000000000002</v>
      </c>
      <c r="F21" s="78">
        <f t="shared" si="4"/>
        <v>7824.26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  <c r="KK21" s="4"/>
      <c r="KL21" s="4"/>
      <c r="KM21" s="4"/>
      <c r="KN21" s="4"/>
      <c r="KO21" s="4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</row>
    <row r="22" spans="1:316" s="15" customFormat="1" x14ac:dyDescent="0.3">
      <c r="A22" s="29" t="s">
        <v>122</v>
      </c>
      <c r="B22" s="28">
        <f t="shared" si="1"/>
        <v>33840.58</v>
      </c>
      <c r="C22" s="88">
        <v>0.7</v>
      </c>
      <c r="D22" s="28">
        <f t="shared" si="2"/>
        <v>23688.41</v>
      </c>
      <c r="E22" s="87">
        <f t="shared" si="3"/>
        <v>0.30000000000000004</v>
      </c>
      <c r="F22" s="25">
        <f t="shared" si="4"/>
        <v>10152.17</v>
      </c>
      <c r="G22"/>
      <c r="H22"/>
      <c r="I22"/>
      <c r="J22"/>
      <c r="K22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  <c r="KK22" s="4"/>
      <c r="KL22" s="4"/>
      <c r="KM22" s="4"/>
      <c r="KN22" s="4"/>
      <c r="KO22" s="4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</row>
    <row r="23" spans="1:316" ht="15" thickBot="1" x14ac:dyDescent="0.35">
      <c r="A23" s="24" t="s">
        <v>123</v>
      </c>
      <c r="B23" s="23">
        <f t="shared" si="1"/>
        <v>35118.49</v>
      </c>
      <c r="C23" s="86">
        <v>0</v>
      </c>
      <c r="D23" s="23">
        <f t="shared" si="2"/>
        <v>0</v>
      </c>
      <c r="E23" s="85">
        <f t="shared" si="3"/>
        <v>1</v>
      </c>
      <c r="F23" s="84">
        <f t="shared" si="4"/>
        <v>35118.49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/>
      <c r="JL23" s="4"/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4"/>
      <c r="KH23" s="4"/>
      <c r="KI23" s="4"/>
      <c r="KJ23" s="4"/>
      <c r="KK23" s="4"/>
      <c r="KL23" s="4"/>
      <c r="KM23" s="4"/>
      <c r="KN23" s="4"/>
      <c r="KO23" s="4"/>
      <c r="KP23" s="4"/>
      <c r="KQ23" s="4"/>
      <c r="KR23" s="4"/>
      <c r="KS23" s="4"/>
      <c r="KT23" s="4"/>
      <c r="KU23" s="4"/>
      <c r="KV23" s="4"/>
      <c r="KW23" s="4"/>
      <c r="KX23" s="4"/>
      <c r="KY23" s="4"/>
      <c r="KZ23" s="4"/>
      <c r="LA23" s="4"/>
      <c r="LB23" s="4"/>
      <c r="LC23" s="4"/>
      <c r="LD23" s="4"/>
    </row>
    <row r="24" spans="1:316" s="15" customFormat="1" ht="15" thickBot="1" x14ac:dyDescent="0.35">
      <c r="A24" s="19" t="s">
        <v>111</v>
      </c>
      <c r="B24" s="83">
        <f>SUM(B15:B23)</f>
        <v>458303.87000000005</v>
      </c>
      <c r="C24" s="18"/>
      <c r="D24" s="83">
        <f>SUM(D15:D23)</f>
        <v>246372.66</v>
      </c>
      <c r="E24" s="18"/>
      <c r="F24" s="82">
        <f>SUM(F15:F23)</f>
        <v>211931.22000000003</v>
      </c>
      <c r="G24"/>
      <c r="H24"/>
      <c r="I24"/>
      <c r="J24"/>
      <c r="K2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/>
      <c r="FD24" s="4"/>
      <c r="FE24" s="4"/>
      <c r="FF24" s="4"/>
      <c r="FG24" s="4"/>
      <c r="FH24" s="4"/>
      <c r="FI24" s="4"/>
      <c r="FJ24" s="4"/>
      <c r="FK24" s="4"/>
      <c r="FL24" s="4"/>
      <c r="FM24" s="4"/>
      <c r="FN24" s="4"/>
      <c r="FO24" s="4"/>
      <c r="FP24" s="4"/>
      <c r="FQ24" s="4"/>
      <c r="FR24" s="4"/>
      <c r="FS24" s="4"/>
      <c r="FT24" s="4"/>
      <c r="FU24" s="4"/>
      <c r="FV24" s="4"/>
      <c r="FW24" s="4"/>
      <c r="FX24" s="4"/>
      <c r="FY24" s="4"/>
      <c r="FZ24" s="4"/>
      <c r="GA24" s="4"/>
      <c r="GB24" s="4"/>
      <c r="GC24" s="4"/>
      <c r="GD24" s="4"/>
      <c r="GE24" s="4"/>
      <c r="GF24" s="4"/>
      <c r="GG24" s="4"/>
      <c r="GH24" s="4"/>
      <c r="GI24" s="4"/>
      <c r="GJ24" s="4"/>
      <c r="GK24" s="4"/>
      <c r="GL24" s="4"/>
      <c r="GM24" s="4"/>
      <c r="GN24" s="4"/>
      <c r="GO24" s="4"/>
      <c r="GP24" s="4"/>
      <c r="GQ24" s="4"/>
      <c r="GR24" s="4"/>
      <c r="GS24" s="4"/>
      <c r="GT24" s="4"/>
      <c r="GU24" s="4"/>
      <c r="GV24" s="4"/>
      <c r="GW24" s="4"/>
      <c r="GX24" s="4"/>
      <c r="GY24" s="4"/>
      <c r="GZ24" s="4"/>
      <c r="HA24" s="4"/>
      <c r="HB24" s="4"/>
      <c r="HC24" s="4"/>
      <c r="HD24" s="4"/>
      <c r="HE24" s="4"/>
      <c r="HF24" s="4"/>
      <c r="HG24" s="4"/>
      <c r="HH24" s="4"/>
      <c r="HI24" s="4"/>
      <c r="HJ24" s="4"/>
      <c r="HK24" s="4"/>
      <c r="HL24" s="4"/>
      <c r="HM24" s="4"/>
      <c r="HN24" s="4"/>
      <c r="HO24" s="4"/>
      <c r="HP24" s="4"/>
      <c r="HQ24" s="4"/>
      <c r="HR24" s="4"/>
      <c r="HS24" s="4"/>
      <c r="HT24" s="4"/>
      <c r="HU24" s="4"/>
      <c r="HV24" s="4"/>
      <c r="HW24" s="4"/>
      <c r="HX24" s="4"/>
      <c r="HY24" s="4"/>
      <c r="HZ24" s="4"/>
      <c r="IA24" s="4"/>
      <c r="IB24" s="4"/>
      <c r="IC24" s="4"/>
      <c r="ID24" s="4"/>
      <c r="IE24" s="4"/>
      <c r="IF24" s="4"/>
      <c r="IG24" s="4"/>
      <c r="IH24" s="4"/>
      <c r="II24" s="4"/>
      <c r="IJ24" s="4"/>
      <c r="IK24" s="4"/>
      <c r="IL24" s="4"/>
      <c r="IM24" s="4"/>
      <c r="IN24" s="4"/>
      <c r="IO24" s="4"/>
      <c r="IP24" s="4"/>
      <c r="IQ24" s="4"/>
      <c r="IR24" s="4"/>
      <c r="IS24" s="4"/>
      <c r="IT24" s="4"/>
      <c r="IU24" s="4"/>
      <c r="IV24" s="4"/>
      <c r="IW24" s="4"/>
      <c r="IX24" s="4"/>
      <c r="IY24" s="4"/>
      <c r="IZ24" s="4"/>
      <c r="JA24" s="4"/>
      <c r="JB24" s="4"/>
      <c r="JC24" s="4"/>
      <c r="JD24" s="4"/>
      <c r="JE24" s="4"/>
      <c r="JF24" s="4"/>
      <c r="JG24" s="4"/>
      <c r="JH24" s="4"/>
      <c r="JI24" s="4"/>
      <c r="JJ24" s="4"/>
      <c r="JK24" s="4"/>
      <c r="JL24" s="4"/>
      <c r="JM24" s="4"/>
      <c r="JN24" s="4"/>
      <c r="JO24" s="4"/>
      <c r="JP24" s="4"/>
      <c r="JQ24" s="4"/>
      <c r="JR24" s="4"/>
      <c r="JS24" s="4"/>
      <c r="JT24" s="4"/>
      <c r="JU24" s="4"/>
      <c r="JV24" s="4"/>
      <c r="JW24" s="4"/>
      <c r="JX24" s="4"/>
      <c r="JY24" s="4"/>
      <c r="JZ24" s="4"/>
      <c r="KA24" s="4"/>
      <c r="KB24" s="4"/>
      <c r="KC24" s="4"/>
      <c r="KD24" s="4"/>
      <c r="KE24" s="4"/>
      <c r="KF24" s="4"/>
      <c r="KG24" s="4"/>
      <c r="KH24" s="4"/>
      <c r="KI24" s="4"/>
      <c r="KJ24" s="4"/>
      <c r="KK24" s="4"/>
      <c r="KL24" s="4"/>
      <c r="KM24" s="4"/>
      <c r="KN24" s="4"/>
      <c r="KO24" s="4"/>
      <c r="KP24" s="4"/>
      <c r="KQ24" s="4"/>
      <c r="KR24" s="4"/>
      <c r="KS24" s="4"/>
      <c r="KT24" s="4"/>
      <c r="KU24" s="4"/>
      <c r="KV24" s="4"/>
      <c r="KW24" s="4"/>
      <c r="KX24" s="4"/>
      <c r="KY24" s="4"/>
      <c r="KZ24" s="4"/>
      <c r="LA24" s="4"/>
      <c r="LB24" s="4"/>
      <c r="LC24" s="4"/>
      <c r="LD24" s="4"/>
    </row>
    <row r="25" spans="1:316" ht="15" thickBot="1" x14ac:dyDescent="0.35">
      <c r="A25" s="3"/>
      <c r="B25" s="4"/>
      <c r="C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  <c r="IY25" s="4"/>
      <c r="IZ25" s="4"/>
      <c r="JA25" s="4"/>
      <c r="JB25" s="4"/>
      <c r="JC25" s="4"/>
      <c r="JD25" s="4"/>
      <c r="JE25" s="4"/>
      <c r="JF25" s="4"/>
      <c r="JG25" s="4"/>
      <c r="JH25" s="4"/>
      <c r="JI25" s="4"/>
      <c r="JJ25" s="4"/>
      <c r="JK25" s="4"/>
      <c r="JL25" s="4"/>
      <c r="JM25" s="4"/>
      <c r="JN25" s="4"/>
      <c r="JO25" s="4"/>
      <c r="JP25" s="4"/>
      <c r="JQ25" s="4"/>
      <c r="JR25" s="4"/>
      <c r="JS25" s="4"/>
      <c r="JT25" s="4"/>
      <c r="JU25" s="4"/>
      <c r="JV25" s="4"/>
      <c r="JW25" s="4"/>
      <c r="JX25" s="4"/>
      <c r="JY25" s="4"/>
      <c r="JZ25" s="4"/>
      <c r="KA25" s="4"/>
      <c r="KB25" s="4"/>
      <c r="KC25" s="4"/>
      <c r="KD25" s="4"/>
      <c r="KE25" s="4"/>
      <c r="KF25" s="4"/>
      <c r="KG25" s="4"/>
      <c r="KH25" s="4"/>
      <c r="KI25" s="4"/>
      <c r="KJ25" s="4"/>
      <c r="KK25" s="4"/>
      <c r="KL25" s="4"/>
      <c r="KM25" s="4"/>
      <c r="KN25" s="4"/>
      <c r="KO25" s="4"/>
      <c r="KP25" s="4"/>
      <c r="KQ25" s="4"/>
      <c r="KR25" s="4"/>
      <c r="KS25" s="4"/>
      <c r="KT25" s="4"/>
      <c r="KU25" s="4"/>
      <c r="KV25" s="4"/>
      <c r="KW25" s="4"/>
      <c r="KX25" s="4"/>
      <c r="KY25" s="4"/>
      <c r="KZ25" s="4"/>
      <c r="LA25" s="4"/>
      <c r="LB25" s="4"/>
      <c r="LC25" s="4"/>
      <c r="LD25" s="4"/>
    </row>
    <row r="26" spans="1:316" s="15" customFormat="1" x14ac:dyDescent="0.3">
      <c r="A26" s="81" t="s">
        <v>138</v>
      </c>
      <c r="B26" s="74" t="s">
        <v>139</v>
      </c>
      <c r="C26" s="73" t="s">
        <v>140</v>
      </c>
      <c r="D26"/>
      <c r="E26"/>
      <c r="F26"/>
      <c r="G26"/>
      <c r="H26"/>
      <c r="I26"/>
      <c r="J26"/>
      <c r="K26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4"/>
      <c r="FH26" s="4"/>
      <c r="FI26" s="4"/>
      <c r="FJ26" s="4"/>
      <c r="FK26" s="4"/>
      <c r="FL26" s="4"/>
      <c r="FM26" s="4"/>
      <c r="FN26" s="4"/>
      <c r="FO26" s="4"/>
      <c r="FP26" s="4"/>
      <c r="FQ26" s="4"/>
      <c r="FR26" s="4"/>
      <c r="FS26" s="4"/>
      <c r="FT26" s="4"/>
      <c r="FU26" s="4"/>
      <c r="FV26" s="4"/>
      <c r="FW26" s="4"/>
      <c r="FX26" s="4"/>
      <c r="FY26" s="4"/>
      <c r="FZ26" s="4"/>
      <c r="GA26" s="4"/>
      <c r="GB26" s="4"/>
      <c r="GC26" s="4"/>
      <c r="GD26" s="4"/>
      <c r="GE26" s="4"/>
      <c r="GF26" s="4"/>
      <c r="GG26" s="4"/>
      <c r="GH26" s="4"/>
      <c r="GI26" s="4"/>
      <c r="GJ26" s="4"/>
      <c r="GK26" s="4"/>
      <c r="GL26" s="4"/>
      <c r="GM26" s="4"/>
      <c r="GN26" s="4"/>
      <c r="GO26" s="4"/>
      <c r="GP26" s="4"/>
      <c r="GQ26" s="4"/>
      <c r="GR26" s="4"/>
      <c r="GS26" s="4"/>
      <c r="GT26" s="4"/>
      <c r="GU26" s="4"/>
      <c r="GV26" s="4"/>
      <c r="GW26" s="4"/>
      <c r="GX26" s="4"/>
      <c r="GY26" s="4"/>
      <c r="GZ26" s="4"/>
      <c r="HA26" s="4"/>
      <c r="HB26" s="4"/>
      <c r="HC26" s="4"/>
      <c r="HD26" s="4"/>
      <c r="HE26" s="4"/>
      <c r="HF26" s="4"/>
      <c r="HG26" s="4"/>
      <c r="HH26" s="4"/>
      <c r="HI26" s="4"/>
      <c r="HJ26" s="4"/>
      <c r="HK26" s="4"/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4"/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  <c r="IY26" s="4"/>
      <c r="IZ26" s="4"/>
      <c r="JA26" s="4"/>
      <c r="JB26" s="4"/>
      <c r="JC26" s="4"/>
      <c r="JD26" s="4"/>
      <c r="JE26" s="4"/>
      <c r="JF26" s="4"/>
      <c r="JG26" s="4"/>
      <c r="JH26" s="4"/>
      <c r="JI26" s="4"/>
      <c r="JJ26" s="4"/>
      <c r="JK26" s="4"/>
      <c r="JL26" s="4"/>
      <c r="JM26" s="4"/>
      <c r="JN26" s="4"/>
      <c r="JO26" s="4"/>
      <c r="JP26" s="4"/>
      <c r="JQ26" s="4"/>
      <c r="JR26" s="4"/>
      <c r="JS26" s="4"/>
      <c r="JT26" s="4"/>
      <c r="JU26" s="4"/>
      <c r="JV26" s="4"/>
      <c r="JW26" s="4"/>
      <c r="JX26" s="4"/>
      <c r="JY26" s="4"/>
      <c r="JZ26" s="4"/>
      <c r="KA26" s="4"/>
      <c r="KB26" s="4"/>
      <c r="KC26" s="4"/>
      <c r="KD26" s="4"/>
      <c r="KE26" s="4"/>
      <c r="KF26" s="4"/>
      <c r="KG26" s="4"/>
      <c r="KH26" s="4"/>
      <c r="KI26" s="4"/>
      <c r="KJ26" s="4"/>
      <c r="KK26" s="4"/>
      <c r="KL26" s="4"/>
      <c r="KM26" s="4"/>
      <c r="KN26" s="4"/>
      <c r="KO26" s="4"/>
      <c r="KP26" s="4"/>
      <c r="KQ26" s="4"/>
      <c r="KR26" s="4"/>
      <c r="KS26" s="4"/>
      <c r="KT26" s="4"/>
      <c r="KU26" s="4"/>
      <c r="KV26" s="4"/>
      <c r="KW26" s="4"/>
      <c r="KX26" s="4"/>
      <c r="KY26" s="4"/>
      <c r="KZ26" s="4"/>
      <c r="LA26" s="4"/>
      <c r="LB26" s="4"/>
      <c r="LC26" s="4"/>
      <c r="LD26" s="4"/>
    </row>
    <row r="27" spans="1:316" x14ac:dyDescent="0.3">
      <c r="A27" s="79" t="s">
        <v>141</v>
      </c>
      <c r="B27" s="68">
        <v>850</v>
      </c>
      <c r="C27" s="78">
        <f t="shared" ref="C27:C49" si="5">B27*12</f>
        <v>10200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4"/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4"/>
      <c r="IY27" s="4"/>
      <c r="IZ27" s="4"/>
      <c r="JA27" s="4"/>
      <c r="JB27" s="4"/>
      <c r="JC27" s="4"/>
      <c r="JD27" s="4"/>
      <c r="JE27" s="4"/>
      <c r="JF27" s="4"/>
      <c r="JG27" s="4"/>
      <c r="JH27" s="4"/>
      <c r="JI27" s="4"/>
      <c r="JJ27" s="4"/>
      <c r="JK27" s="4"/>
      <c r="JL27" s="4"/>
      <c r="JM27" s="4"/>
      <c r="JN27" s="4"/>
      <c r="JO27" s="4"/>
      <c r="JP27" s="4"/>
      <c r="JQ27" s="4"/>
      <c r="JR27" s="4"/>
      <c r="JS27" s="4"/>
      <c r="JT27" s="4"/>
      <c r="JU27" s="4"/>
      <c r="JV27" s="4"/>
      <c r="JW27" s="4"/>
      <c r="JX27" s="4"/>
      <c r="JY27" s="4"/>
      <c r="JZ27" s="4"/>
      <c r="KA27" s="4"/>
      <c r="KB27" s="4"/>
      <c r="KC27" s="4"/>
      <c r="KD27" s="4"/>
      <c r="KE27" s="4"/>
      <c r="KF27" s="4"/>
      <c r="KG27" s="4"/>
      <c r="KH27" s="4"/>
      <c r="KI27" s="4"/>
      <c r="KJ27" s="4"/>
      <c r="KK27" s="4"/>
      <c r="KL27" s="4"/>
      <c r="KM27" s="4"/>
      <c r="KN27" s="4"/>
      <c r="KO27" s="4"/>
      <c r="KP27" s="4"/>
      <c r="KQ27" s="4"/>
      <c r="KR27" s="4"/>
      <c r="KS27" s="4"/>
      <c r="KT27" s="4"/>
      <c r="KU27" s="4"/>
      <c r="KV27" s="4"/>
      <c r="KW27" s="4"/>
      <c r="KX27" s="4"/>
      <c r="KY27" s="4"/>
      <c r="KZ27" s="4"/>
      <c r="LA27" s="4"/>
      <c r="LB27" s="4"/>
      <c r="LC27" s="4"/>
      <c r="LD27" s="4"/>
    </row>
    <row r="28" spans="1:316" s="15" customFormat="1" x14ac:dyDescent="0.3">
      <c r="A28" s="80" t="s">
        <v>142</v>
      </c>
      <c r="B28" s="65">
        <v>800</v>
      </c>
      <c r="C28" s="25">
        <f t="shared" si="5"/>
        <v>9600</v>
      </c>
      <c r="D28"/>
      <c r="E28"/>
      <c r="F28"/>
      <c r="G28"/>
      <c r="H28"/>
      <c r="I28"/>
      <c r="J28"/>
      <c r="K28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  <c r="FI28" s="4"/>
      <c r="FJ28" s="4"/>
      <c r="FK28" s="4"/>
      <c r="FL28" s="4"/>
      <c r="FM28" s="4"/>
      <c r="FN28" s="4"/>
      <c r="FO28" s="4"/>
      <c r="FP28" s="4"/>
      <c r="FQ28" s="4"/>
      <c r="FR28" s="4"/>
      <c r="FS28" s="4"/>
      <c r="FT28" s="4"/>
      <c r="FU28" s="4"/>
      <c r="FV28" s="4"/>
      <c r="FW28" s="4"/>
      <c r="FX28" s="4"/>
      <c r="FY28" s="4"/>
      <c r="FZ28" s="4"/>
      <c r="GA28" s="4"/>
      <c r="GB28" s="4"/>
      <c r="GC28" s="4"/>
      <c r="GD28" s="4"/>
      <c r="GE28" s="4"/>
      <c r="GF28" s="4"/>
      <c r="GG28" s="4"/>
      <c r="GH28" s="4"/>
      <c r="GI28" s="4"/>
      <c r="GJ28" s="4"/>
      <c r="GK28" s="4"/>
      <c r="GL28" s="4"/>
      <c r="GM28" s="4"/>
      <c r="GN28" s="4"/>
      <c r="GO28" s="4"/>
      <c r="GP28" s="4"/>
      <c r="GQ28" s="4"/>
      <c r="GR28" s="4"/>
      <c r="GS28" s="4"/>
      <c r="GT28" s="4"/>
      <c r="GU28" s="4"/>
      <c r="GV28" s="4"/>
      <c r="GW28" s="4"/>
      <c r="GX28" s="4"/>
      <c r="GY28" s="4"/>
      <c r="GZ28" s="4"/>
      <c r="HA28" s="4"/>
      <c r="HB28" s="4"/>
      <c r="HC28" s="4"/>
      <c r="HD28" s="4"/>
      <c r="HE28" s="4"/>
      <c r="HF28" s="4"/>
      <c r="HG28" s="4"/>
      <c r="HH28" s="4"/>
      <c r="HI28" s="4"/>
      <c r="HJ28" s="4"/>
      <c r="HK28" s="4"/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4"/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  <c r="IY28" s="4"/>
      <c r="IZ28" s="4"/>
      <c r="JA28" s="4"/>
      <c r="JB28" s="4"/>
      <c r="JC28" s="4"/>
      <c r="JD28" s="4"/>
      <c r="JE28" s="4"/>
      <c r="JF28" s="4"/>
      <c r="JG28" s="4"/>
      <c r="JH28" s="4"/>
      <c r="JI28" s="4"/>
      <c r="JJ28" s="4"/>
      <c r="JK28" s="4"/>
      <c r="JL28" s="4"/>
      <c r="JM28" s="4"/>
      <c r="JN28" s="4"/>
      <c r="JO28" s="4"/>
      <c r="JP28" s="4"/>
      <c r="JQ28" s="4"/>
      <c r="JR28" s="4"/>
      <c r="JS28" s="4"/>
      <c r="JT28" s="4"/>
      <c r="JU28" s="4"/>
      <c r="JV28" s="4"/>
      <c r="JW28" s="4"/>
      <c r="JX28" s="4"/>
      <c r="JY28" s="4"/>
      <c r="JZ28" s="4"/>
      <c r="KA28" s="4"/>
      <c r="KB28" s="4"/>
      <c r="KC28" s="4"/>
      <c r="KD28" s="4"/>
      <c r="KE28" s="4"/>
      <c r="KF28" s="4"/>
      <c r="KG28" s="4"/>
      <c r="KH28" s="4"/>
      <c r="KI28" s="4"/>
      <c r="KJ28" s="4"/>
      <c r="KK28" s="4"/>
      <c r="KL28" s="4"/>
      <c r="KM28" s="4"/>
      <c r="KN28" s="4"/>
      <c r="KO28" s="4"/>
      <c r="KP28" s="4"/>
      <c r="KQ28" s="4"/>
      <c r="KR28" s="4"/>
      <c r="KS28" s="4"/>
      <c r="KT28" s="4"/>
      <c r="KU28" s="4"/>
      <c r="KV28" s="4"/>
      <c r="KW28" s="4"/>
      <c r="KX28" s="4"/>
      <c r="KY28" s="4"/>
      <c r="KZ28" s="4"/>
      <c r="LA28" s="4"/>
      <c r="LB28" s="4"/>
      <c r="LC28" s="4"/>
      <c r="LD28" s="4"/>
    </row>
    <row r="29" spans="1:316" x14ac:dyDescent="0.3">
      <c r="A29" s="79" t="s">
        <v>143</v>
      </c>
      <c r="B29" s="68">
        <v>550</v>
      </c>
      <c r="C29" s="78">
        <f t="shared" si="5"/>
        <v>6600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4"/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4"/>
      <c r="IY29" s="4"/>
      <c r="IZ29" s="4"/>
      <c r="JA29" s="4"/>
      <c r="JB29" s="4"/>
      <c r="JC29" s="4"/>
      <c r="JD29" s="4"/>
      <c r="JE29" s="4"/>
      <c r="JF29" s="4"/>
      <c r="JG29" s="4"/>
      <c r="JH29" s="4"/>
      <c r="JI29" s="4"/>
      <c r="JJ29" s="4"/>
      <c r="JK29" s="4"/>
      <c r="JL29" s="4"/>
      <c r="JM29" s="4"/>
      <c r="JN29" s="4"/>
      <c r="JO29" s="4"/>
      <c r="JP29" s="4"/>
      <c r="JQ29" s="4"/>
      <c r="JR29" s="4"/>
      <c r="JS29" s="4"/>
      <c r="JT29" s="4"/>
      <c r="JU29" s="4"/>
      <c r="JV29" s="4"/>
      <c r="JW29" s="4"/>
      <c r="JX29" s="4"/>
      <c r="JY29" s="4"/>
      <c r="JZ29" s="4"/>
      <c r="KA29" s="4"/>
      <c r="KB29" s="4"/>
      <c r="KC29" s="4"/>
      <c r="KD29" s="4"/>
      <c r="KE29" s="4"/>
      <c r="KF29" s="4"/>
      <c r="KG29" s="4"/>
      <c r="KH29" s="4"/>
      <c r="KI29" s="4"/>
      <c r="KJ29" s="4"/>
      <c r="KK29" s="4"/>
      <c r="KL29" s="4"/>
      <c r="KM29" s="4"/>
      <c r="KN29" s="4"/>
      <c r="KO29" s="4"/>
      <c r="KP29" s="4"/>
      <c r="KQ29" s="4"/>
      <c r="KR29" s="4"/>
      <c r="KS29" s="4"/>
      <c r="KT29" s="4"/>
      <c r="KU29" s="4"/>
      <c r="KV29" s="4"/>
      <c r="KW29" s="4"/>
      <c r="KX29" s="4"/>
      <c r="KY29" s="4"/>
      <c r="KZ29" s="4"/>
      <c r="LA29" s="4"/>
      <c r="LB29" s="4"/>
      <c r="LC29" s="4"/>
      <c r="LD29" s="4"/>
    </row>
    <row r="30" spans="1:316" s="15" customFormat="1" x14ac:dyDescent="0.3">
      <c r="A30" s="80" t="s">
        <v>144</v>
      </c>
      <c r="B30" s="65">
        <v>400</v>
      </c>
      <c r="C30" s="25">
        <f t="shared" si="5"/>
        <v>4800</v>
      </c>
      <c r="D30"/>
      <c r="E30"/>
      <c r="F30"/>
      <c r="G30"/>
      <c r="H30"/>
      <c r="I30"/>
      <c r="J30"/>
      <c r="K30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/>
      <c r="FD30" s="4"/>
      <c r="FE30" s="4"/>
      <c r="FF30" s="4"/>
      <c r="FG30" s="4"/>
      <c r="FH30" s="4"/>
      <c r="FI30" s="4"/>
      <c r="FJ30" s="4"/>
      <c r="FK30" s="4"/>
      <c r="FL30" s="4"/>
      <c r="FM30" s="4"/>
      <c r="FN30" s="4"/>
      <c r="FO30" s="4"/>
      <c r="FP30" s="4"/>
      <c r="FQ30" s="4"/>
      <c r="FR30" s="4"/>
      <c r="FS30" s="4"/>
      <c r="FT30" s="4"/>
      <c r="FU30" s="4"/>
      <c r="FV30" s="4"/>
      <c r="FW30" s="4"/>
      <c r="FX30" s="4"/>
      <c r="FY30" s="4"/>
      <c r="FZ30" s="4"/>
      <c r="GA30" s="4"/>
      <c r="GB30" s="4"/>
      <c r="GC30" s="4"/>
      <c r="GD30" s="4"/>
      <c r="GE30" s="4"/>
      <c r="GF30" s="4"/>
      <c r="GG30" s="4"/>
      <c r="GH30" s="4"/>
      <c r="GI30" s="4"/>
      <c r="GJ30" s="4"/>
      <c r="GK30" s="4"/>
      <c r="GL30" s="4"/>
      <c r="GM30" s="4"/>
      <c r="GN30" s="4"/>
      <c r="GO30" s="4"/>
      <c r="GP30" s="4"/>
      <c r="GQ30" s="4"/>
      <c r="GR30" s="4"/>
      <c r="GS30" s="4"/>
      <c r="GT30" s="4"/>
      <c r="GU30" s="4"/>
      <c r="GV30" s="4"/>
      <c r="GW30" s="4"/>
      <c r="GX30" s="4"/>
      <c r="GY30" s="4"/>
      <c r="GZ30" s="4"/>
      <c r="HA30" s="4"/>
      <c r="HB30" s="4"/>
      <c r="HC30" s="4"/>
      <c r="HD30" s="4"/>
      <c r="HE30" s="4"/>
      <c r="HF30" s="4"/>
      <c r="HG30" s="4"/>
      <c r="HH30" s="4"/>
      <c r="HI30" s="4"/>
      <c r="HJ30" s="4"/>
      <c r="HK30" s="4"/>
      <c r="HL30" s="4"/>
      <c r="HM30" s="4"/>
      <c r="HN30" s="4"/>
      <c r="HO30" s="4"/>
      <c r="HP30" s="4"/>
      <c r="HQ30" s="4"/>
      <c r="HR30" s="4"/>
      <c r="HS30" s="4"/>
      <c r="HT30" s="4"/>
      <c r="HU30" s="4"/>
      <c r="HV30" s="4"/>
      <c r="HW30" s="4"/>
      <c r="HX30" s="4"/>
      <c r="HY30" s="4"/>
      <c r="HZ30" s="4"/>
      <c r="IA30" s="4"/>
      <c r="IB30" s="4"/>
      <c r="IC30" s="4"/>
      <c r="ID30" s="4"/>
      <c r="IE30" s="4"/>
      <c r="IF30" s="4"/>
      <c r="IG30" s="4"/>
      <c r="IH30" s="4"/>
      <c r="II30" s="4"/>
      <c r="IJ30" s="4"/>
      <c r="IK30" s="4"/>
      <c r="IL30" s="4"/>
      <c r="IM30" s="4"/>
      <c r="IN30" s="4"/>
      <c r="IO30" s="4"/>
      <c r="IP30" s="4"/>
      <c r="IQ30" s="4"/>
      <c r="IR30" s="4"/>
      <c r="IS30" s="4"/>
      <c r="IT30" s="4"/>
      <c r="IU30" s="4"/>
      <c r="IV30" s="4"/>
      <c r="IW30" s="4"/>
      <c r="IX30" s="4"/>
      <c r="IY30" s="4"/>
      <c r="IZ30" s="4"/>
      <c r="JA30" s="4"/>
      <c r="JB30" s="4"/>
      <c r="JC30" s="4"/>
      <c r="JD30" s="4"/>
      <c r="JE30" s="4"/>
      <c r="JF30" s="4"/>
      <c r="JG30" s="4"/>
      <c r="JH30" s="4"/>
      <c r="JI30" s="4"/>
      <c r="JJ30" s="4"/>
      <c r="JK30" s="4"/>
      <c r="JL30" s="4"/>
      <c r="JM30" s="4"/>
      <c r="JN30" s="4"/>
      <c r="JO30" s="4"/>
      <c r="JP30" s="4"/>
      <c r="JQ30" s="4"/>
      <c r="JR30" s="4"/>
      <c r="JS30" s="4"/>
      <c r="JT30" s="4"/>
      <c r="JU30" s="4"/>
      <c r="JV30" s="4"/>
      <c r="JW30" s="4"/>
      <c r="JX30" s="4"/>
      <c r="JY30" s="4"/>
      <c r="JZ30" s="4"/>
      <c r="KA30" s="4"/>
      <c r="KB30" s="4"/>
      <c r="KC30" s="4"/>
      <c r="KD30" s="4"/>
      <c r="KE30" s="4"/>
      <c r="KF30" s="4"/>
      <c r="KG30" s="4"/>
      <c r="KH30" s="4"/>
      <c r="KI30" s="4"/>
      <c r="KJ30" s="4"/>
      <c r="KK30" s="4"/>
      <c r="KL30" s="4"/>
      <c r="KM30" s="4"/>
      <c r="KN30" s="4"/>
      <c r="KO30" s="4"/>
      <c r="KP30" s="4"/>
      <c r="KQ30" s="4"/>
      <c r="KR30" s="4"/>
      <c r="KS30" s="4"/>
      <c r="KT30" s="4"/>
      <c r="KU30" s="4"/>
      <c r="KV30" s="4"/>
      <c r="KW30" s="4"/>
      <c r="KX30" s="4"/>
      <c r="KY30" s="4"/>
      <c r="KZ30" s="4"/>
      <c r="LA30" s="4"/>
      <c r="LB30" s="4"/>
      <c r="LC30" s="4"/>
      <c r="LD30" s="4"/>
    </row>
    <row r="31" spans="1:316" x14ac:dyDescent="0.3">
      <c r="A31" s="79" t="s">
        <v>145</v>
      </c>
      <c r="B31" s="68">
        <v>120</v>
      </c>
      <c r="C31" s="78">
        <f t="shared" si="5"/>
        <v>1440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  <c r="KK31" s="4"/>
      <c r="KL31" s="4"/>
      <c r="KM31" s="4"/>
      <c r="KN31" s="4"/>
      <c r="KO31" s="4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</row>
    <row r="32" spans="1:316" s="15" customFormat="1" x14ac:dyDescent="0.3">
      <c r="A32" s="80" t="s">
        <v>146</v>
      </c>
      <c r="B32" s="65">
        <v>1350</v>
      </c>
      <c r="C32" s="25">
        <f t="shared" si="5"/>
        <v>16200</v>
      </c>
      <c r="D32"/>
      <c r="E32"/>
      <c r="F32"/>
      <c r="G32"/>
      <c r="H32"/>
      <c r="I32"/>
      <c r="J32"/>
      <c r="K32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  <c r="KK32" s="4"/>
      <c r="KL32" s="4"/>
      <c r="KM32" s="4"/>
      <c r="KN32" s="4"/>
      <c r="KO32" s="4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</row>
    <row r="33" spans="1:316" x14ac:dyDescent="0.3">
      <c r="A33" s="79" t="s">
        <v>147</v>
      </c>
      <c r="B33" s="68">
        <v>900</v>
      </c>
      <c r="C33" s="78">
        <f t="shared" si="5"/>
        <v>10800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  <c r="KK33" s="4"/>
      <c r="KL33" s="4"/>
      <c r="KM33" s="4"/>
      <c r="KN33" s="4"/>
      <c r="KO33" s="4"/>
      <c r="KP33" s="4"/>
      <c r="KQ33" s="4"/>
      <c r="KR33" s="4"/>
      <c r="KS33" s="4"/>
      <c r="KT33" s="4"/>
      <c r="KU33" s="4"/>
      <c r="KV33" s="4"/>
      <c r="KW33" s="4"/>
      <c r="KX33" s="4"/>
      <c r="KY33" s="4"/>
      <c r="KZ33" s="4"/>
      <c r="LA33" s="4"/>
      <c r="LB33" s="4"/>
      <c r="LC33" s="4"/>
      <c r="LD33" s="4"/>
    </row>
    <row r="34" spans="1:316" s="15" customFormat="1" x14ac:dyDescent="0.3">
      <c r="A34" s="80" t="s">
        <v>148</v>
      </c>
      <c r="B34" s="65">
        <v>140</v>
      </c>
      <c r="C34" s="25">
        <f t="shared" si="5"/>
        <v>1680</v>
      </c>
      <c r="D34"/>
      <c r="E34"/>
      <c r="F34"/>
      <c r="G34"/>
      <c r="H34"/>
      <c r="I34"/>
      <c r="J34"/>
      <c r="K3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  <c r="KK34" s="4"/>
      <c r="KL34" s="4"/>
      <c r="KM34" s="4"/>
      <c r="KN34" s="4"/>
      <c r="KO34" s="4"/>
      <c r="KP34" s="4"/>
      <c r="KQ34" s="4"/>
      <c r="KR34" s="4"/>
      <c r="KS34" s="4"/>
      <c r="KT34" s="4"/>
      <c r="KU34" s="4"/>
      <c r="KV34" s="4"/>
      <c r="KW34" s="4"/>
      <c r="KX34" s="4"/>
      <c r="KY34" s="4"/>
      <c r="KZ34" s="4"/>
      <c r="LA34" s="4"/>
      <c r="LB34" s="4"/>
      <c r="LC34" s="4"/>
      <c r="LD34" s="4"/>
    </row>
    <row r="35" spans="1:316" x14ac:dyDescent="0.3">
      <c r="A35" s="79" t="s">
        <v>149</v>
      </c>
      <c r="B35" s="68">
        <v>120</v>
      </c>
      <c r="C35" s="78">
        <f t="shared" si="5"/>
        <v>1440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  <c r="KK35" s="4"/>
      <c r="KL35" s="4"/>
      <c r="KM35" s="4"/>
      <c r="KN35" s="4"/>
      <c r="KO35" s="4"/>
      <c r="KP35" s="4"/>
      <c r="KQ35" s="4"/>
      <c r="KR35" s="4"/>
      <c r="KS35" s="4"/>
      <c r="KT35" s="4"/>
      <c r="KU35" s="4"/>
      <c r="KV35" s="4"/>
      <c r="KW35" s="4"/>
      <c r="KX35" s="4"/>
      <c r="KY35" s="4"/>
      <c r="KZ35" s="4"/>
      <c r="LA35" s="4"/>
      <c r="LB35" s="4"/>
      <c r="LC35" s="4"/>
      <c r="LD35" s="4"/>
    </row>
    <row r="36" spans="1:316" s="15" customFormat="1" x14ac:dyDescent="0.3">
      <c r="A36" s="80" t="s">
        <v>150</v>
      </c>
      <c r="B36" s="65">
        <v>120</v>
      </c>
      <c r="C36" s="25">
        <f t="shared" si="5"/>
        <v>1440</v>
      </c>
      <c r="D36"/>
      <c r="E36"/>
      <c r="F36"/>
      <c r="G36"/>
      <c r="H36"/>
      <c r="I36"/>
      <c r="J36"/>
      <c r="K36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  <c r="KK36" s="4"/>
      <c r="KL36" s="4"/>
      <c r="KM36" s="4"/>
      <c r="KN36" s="4"/>
      <c r="KO36" s="4"/>
      <c r="KP36" s="4"/>
      <c r="KQ36" s="4"/>
      <c r="KR36" s="4"/>
      <c r="KS36" s="4"/>
      <c r="KT36" s="4"/>
      <c r="KU36" s="4"/>
      <c r="KV36" s="4"/>
      <c r="KW36" s="4"/>
      <c r="KX36" s="4"/>
      <c r="KY36" s="4"/>
      <c r="KZ36" s="4"/>
      <c r="LA36" s="4"/>
      <c r="LB36" s="4"/>
      <c r="LC36" s="4"/>
      <c r="LD36" s="4"/>
    </row>
    <row r="37" spans="1:316" x14ac:dyDescent="0.3">
      <c r="A37" s="79" t="s">
        <v>151</v>
      </c>
      <c r="B37" s="68">
        <v>180</v>
      </c>
      <c r="C37" s="78">
        <f t="shared" si="5"/>
        <v>2160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  <c r="KK37" s="4"/>
      <c r="KL37" s="4"/>
      <c r="KM37" s="4"/>
      <c r="KN37" s="4"/>
      <c r="KO37" s="4"/>
      <c r="KP37" s="4"/>
      <c r="KQ37" s="4"/>
      <c r="KR37" s="4"/>
      <c r="KS37" s="4"/>
      <c r="KT37" s="4"/>
      <c r="KU37" s="4"/>
      <c r="KV37" s="4"/>
      <c r="KW37" s="4"/>
      <c r="KX37" s="4"/>
      <c r="KY37" s="4"/>
      <c r="KZ37" s="4"/>
      <c r="LA37" s="4"/>
      <c r="LB37" s="4"/>
      <c r="LC37" s="4"/>
      <c r="LD37" s="4"/>
    </row>
    <row r="38" spans="1:316" s="15" customFormat="1" x14ac:dyDescent="0.3">
      <c r="A38" s="80" t="s">
        <v>152</v>
      </c>
      <c r="B38" s="65">
        <v>55</v>
      </c>
      <c r="C38" s="25">
        <f t="shared" si="5"/>
        <v>660</v>
      </c>
      <c r="D38"/>
      <c r="E38"/>
      <c r="F38"/>
      <c r="G38"/>
      <c r="H38"/>
      <c r="I38"/>
      <c r="J38"/>
      <c r="K38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  <c r="KK38" s="4"/>
      <c r="KL38" s="4"/>
      <c r="KM38" s="4"/>
      <c r="KN38" s="4"/>
      <c r="KO38" s="4"/>
      <c r="KP38" s="4"/>
      <c r="KQ38" s="4"/>
      <c r="KR38" s="4"/>
      <c r="KS38" s="4"/>
      <c r="KT38" s="4"/>
      <c r="KU38" s="4"/>
      <c r="KV38" s="4"/>
      <c r="KW38" s="4"/>
      <c r="KX38" s="4"/>
      <c r="KY38" s="4"/>
      <c r="KZ38" s="4"/>
      <c r="LA38" s="4"/>
      <c r="LB38" s="4"/>
      <c r="LC38" s="4"/>
      <c r="LD38" s="4"/>
    </row>
    <row r="39" spans="1:316" x14ac:dyDescent="0.3">
      <c r="A39" s="79" t="s">
        <v>153</v>
      </c>
      <c r="B39" s="68">
        <v>400</v>
      </c>
      <c r="C39" s="78">
        <f t="shared" si="5"/>
        <v>4800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  <c r="KK39" s="4"/>
      <c r="KL39" s="4"/>
      <c r="KM39" s="4"/>
      <c r="KN39" s="4"/>
      <c r="KO39" s="4"/>
      <c r="KP39" s="4"/>
      <c r="KQ39" s="4"/>
      <c r="KR39" s="4"/>
      <c r="KS39" s="4"/>
      <c r="KT39" s="4"/>
      <c r="KU39" s="4"/>
      <c r="KV39" s="4"/>
      <c r="KW39" s="4"/>
      <c r="KX39" s="4"/>
      <c r="KY39" s="4"/>
      <c r="KZ39" s="4"/>
      <c r="LA39" s="4"/>
      <c r="LB39" s="4"/>
      <c r="LC39" s="4"/>
      <c r="LD39" s="4"/>
    </row>
    <row r="40" spans="1:316" s="15" customFormat="1" x14ac:dyDescent="0.3">
      <c r="A40" s="80" t="s">
        <v>154</v>
      </c>
      <c r="B40" s="65">
        <v>300</v>
      </c>
      <c r="C40" s="25">
        <f t="shared" si="5"/>
        <v>3600</v>
      </c>
      <c r="D40"/>
      <c r="E40"/>
      <c r="F40"/>
      <c r="G40"/>
      <c r="H40"/>
      <c r="I40"/>
      <c r="J40"/>
      <c r="K40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  <c r="KK40" s="4"/>
      <c r="KL40" s="4"/>
      <c r="KM40" s="4"/>
      <c r="KN40" s="4"/>
      <c r="KO40" s="4"/>
      <c r="KP40" s="4"/>
      <c r="KQ40" s="4"/>
      <c r="KR40" s="4"/>
      <c r="KS40" s="4"/>
      <c r="KT40" s="4"/>
      <c r="KU40" s="4"/>
      <c r="KV40" s="4"/>
      <c r="KW40" s="4"/>
      <c r="KX40" s="4"/>
      <c r="KY40" s="4"/>
      <c r="KZ40" s="4"/>
      <c r="LA40" s="4"/>
      <c r="LB40" s="4"/>
      <c r="LC40" s="4"/>
      <c r="LD40" s="4"/>
    </row>
    <row r="41" spans="1:316" x14ac:dyDescent="0.3">
      <c r="A41" s="79" t="s">
        <v>155</v>
      </c>
      <c r="B41" s="68">
        <v>150</v>
      </c>
      <c r="C41" s="78">
        <f t="shared" si="5"/>
        <v>1800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  <c r="KK41" s="4"/>
      <c r="KL41" s="4"/>
      <c r="KM41" s="4"/>
      <c r="KN41" s="4"/>
      <c r="KO41" s="4"/>
      <c r="KP41" s="4"/>
      <c r="KQ41" s="4"/>
      <c r="KR41" s="4"/>
      <c r="KS41" s="4"/>
      <c r="KT41" s="4"/>
      <c r="KU41" s="4"/>
      <c r="KV41" s="4"/>
      <c r="KW41" s="4"/>
      <c r="KX41" s="4"/>
      <c r="KY41" s="4"/>
      <c r="KZ41" s="4"/>
      <c r="LA41" s="4"/>
      <c r="LB41" s="4"/>
      <c r="LC41" s="4"/>
      <c r="LD41" s="4"/>
    </row>
    <row r="42" spans="1:316" s="15" customFormat="1" x14ac:dyDescent="0.3">
      <c r="A42" s="80" t="s">
        <v>156</v>
      </c>
      <c r="B42" s="65">
        <v>500</v>
      </c>
      <c r="C42" s="25">
        <f t="shared" si="5"/>
        <v>6000</v>
      </c>
      <c r="D42"/>
      <c r="E42"/>
      <c r="F42"/>
      <c r="G42"/>
      <c r="H42"/>
      <c r="I42"/>
      <c r="J42"/>
      <c r="K42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  <c r="KK42" s="4"/>
      <c r="KL42" s="4"/>
      <c r="KM42" s="4"/>
      <c r="KN42" s="4"/>
      <c r="KO42" s="4"/>
      <c r="KP42" s="4"/>
      <c r="KQ42" s="4"/>
      <c r="KR42" s="4"/>
      <c r="KS42" s="4"/>
      <c r="KT42" s="4"/>
      <c r="KU42" s="4"/>
      <c r="KV42" s="4"/>
      <c r="KW42" s="4"/>
      <c r="KX42" s="4"/>
      <c r="KY42" s="4"/>
      <c r="KZ42" s="4"/>
      <c r="LA42" s="4"/>
      <c r="LB42" s="4"/>
      <c r="LC42" s="4"/>
      <c r="LD42" s="4"/>
    </row>
    <row r="43" spans="1:316" x14ac:dyDescent="0.3">
      <c r="A43" s="79" t="s">
        <v>157</v>
      </c>
      <c r="B43" s="68">
        <v>350</v>
      </c>
      <c r="C43" s="78">
        <f t="shared" si="5"/>
        <v>4200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  <c r="KK43" s="4"/>
      <c r="KL43" s="4"/>
      <c r="KM43" s="4"/>
      <c r="KN43" s="4"/>
      <c r="KO43" s="4"/>
      <c r="KP43" s="4"/>
      <c r="KQ43" s="4"/>
      <c r="KR43" s="4"/>
      <c r="KS43" s="4"/>
      <c r="KT43" s="4"/>
      <c r="KU43" s="4"/>
      <c r="KV43" s="4"/>
      <c r="KW43" s="4"/>
      <c r="KX43" s="4"/>
      <c r="KY43" s="4"/>
      <c r="KZ43" s="4"/>
      <c r="LA43" s="4"/>
      <c r="LB43" s="4"/>
      <c r="LC43" s="4"/>
      <c r="LD43" s="4"/>
    </row>
    <row r="44" spans="1:316" s="15" customFormat="1" x14ac:dyDescent="0.3">
      <c r="A44" s="80" t="s">
        <v>158</v>
      </c>
      <c r="B44" s="65">
        <v>300</v>
      </c>
      <c r="C44" s="25">
        <f t="shared" si="5"/>
        <v>3600</v>
      </c>
      <c r="D44"/>
      <c r="E44"/>
      <c r="F44"/>
      <c r="G44"/>
      <c r="H44"/>
      <c r="I44"/>
      <c r="J44"/>
      <c r="K4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  <c r="KK44" s="4"/>
      <c r="KL44" s="4"/>
      <c r="KM44" s="4"/>
      <c r="KN44" s="4"/>
      <c r="KO44" s="4"/>
      <c r="KP44" s="4"/>
      <c r="KQ44" s="4"/>
      <c r="KR44" s="4"/>
      <c r="KS44" s="4"/>
      <c r="KT44" s="4"/>
      <c r="KU44" s="4"/>
      <c r="KV44" s="4"/>
      <c r="KW44" s="4"/>
      <c r="KX44" s="4"/>
      <c r="KY44" s="4"/>
      <c r="KZ44" s="4"/>
      <c r="LA44" s="4"/>
      <c r="LB44" s="4"/>
      <c r="LC44" s="4"/>
      <c r="LD44" s="4"/>
    </row>
    <row r="45" spans="1:316" x14ac:dyDescent="0.3">
      <c r="A45" s="79" t="s">
        <v>159</v>
      </c>
      <c r="B45" s="68">
        <v>200</v>
      </c>
      <c r="C45" s="78">
        <f t="shared" si="5"/>
        <v>2400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  <c r="KK45" s="4"/>
      <c r="KL45" s="4"/>
      <c r="KM45" s="4"/>
      <c r="KN45" s="4"/>
      <c r="KO45" s="4"/>
      <c r="KP45" s="4"/>
      <c r="KQ45" s="4"/>
      <c r="KR45" s="4"/>
      <c r="KS45" s="4"/>
      <c r="KT45" s="4"/>
      <c r="KU45" s="4"/>
      <c r="KV45" s="4"/>
      <c r="KW45" s="4"/>
      <c r="KX45" s="4"/>
      <c r="KY45" s="4"/>
      <c r="KZ45" s="4"/>
      <c r="LA45" s="4"/>
      <c r="LB45" s="4"/>
      <c r="LC45" s="4"/>
      <c r="LD45" s="4"/>
    </row>
    <row r="46" spans="1:316" s="15" customFormat="1" x14ac:dyDescent="0.3">
      <c r="A46" s="80" t="s">
        <v>160</v>
      </c>
      <c r="B46" s="65">
        <v>50</v>
      </c>
      <c r="C46" s="25">
        <f t="shared" si="5"/>
        <v>600</v>
      </c>
      <c r="D46"/>
      <c r="E46"/>
      <c r="F46"/>
      <c r="G46"/>
      <c r="H46"/>
      <c r="I46"/>
      <c r="J46"/>
      <c r="K46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  <c r="KK46" s="4"/>
      <c r="KL46" s="4"/>
      <c r="KM46" s="4"/>
      <c r="KN46" s="4"/>
      <c r="KO46" s="4"/>
      <c r="KP46" s="4"/>
      <c r="KQ46" s="4"/>
      <c r="KR46" s="4"/>
      <c r="KS46" s="4"/>
      <c r="KT46" s="4"/>
      <c r="KU46" s="4"/>
      <c r="KV46" s="4"/>
      <c r="KW46" s="4"/>
      <c r="KX46" s="4"/>
      <c r="KY46" s="4"/>
      <c r="KZ46" s="4"/>
      <c r="LA46" s="4"/>
      <c r="LB46" s="4"/>
      <c r="LC46" s="4"/>
      <c r="LD46" s="4"/>
    </row>
    <row r="47" spans="1:316" x14ac:dyDescent="0.3">
      <c r="A47" s="79" t="s">
        <v>161</v>
      </c>
      <c r="B47" s="68">
        <v>150</v>
      </c>
      <c r="C47" s="78">
        <f t="shared" si="5"/>
        <v>1800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  <c r="IY47" s="4"/>
      <c r="IZ47" s="4"/>
      <c r="JA47" s="4"/>
      <c r="JB47" s="4"/>
      <c r="JC47" s="4"/>
      <c r="JD47" s="4"/>
      <c r="JE47" s="4"/>
      <c r="JF47" s="4"/>
      <c r="JG47" s="4"/>
      <c r="JH47" s="4"/>
      <c r="JI47" s="4"/>
      <c r="JJ47" s="4"/>
      <c r="JK47" s="4"/>
      <c r="JL47" s="4"/>
      <c r="JM47" s="4"/>
      <c r="JN47" s="4"/>
      <c r="JO47" s="4"/>
      <c r="JP47" s="4"/>
      <c r="JQ47" s="4"/>
      <c r="JR47" s="4"/>
      <c r="JS47" s="4"/>
      <c r="JT47" s="4"/>
      <c r="JU47" s="4"/>
      <c r="JV47" s="4"/>
      <c r="JW47" s="4"/>
      <c r="JX47" s="4"/>
      <c r="JY47" s="4"/>
      <c r="JZ47" s="4"/>
      <c r="KA47" s="4"/>
      <c r="KB47" s="4"/>
      <c r="KC47" s="4"/>
      <c r="KD47" s="4"/>
      <c r="KE47" s="4"/>
      <c r="KF47" s="4"/>
      <c r="KG47" s="4"/>
      <c r="KH47" s="4"/>
      <c r="KI47" s="4"/>
      <c r="KJ47" s="4"/>
      <c r="KK47" s="4"/>
      <c r="KL47" s="4"/>
      <c r="KM47" s="4"/>
      <c r="KN47" s="4"/>
      <c r="KO47" s="4"/>
      <c r="KP47" s="4"/>
      <c r="KQ47" s="4"/>
      <c r="KR47" s="4"/>
      <c r="KS47" s="4"/>
      <c r="KT47" s="4"/>
      <c r="KU47" s="4"/>
      <c r="KV47" s="4"/>
      <c r="KW47" s="4"/>
      <c r="KX47" s="4"/>
      <c r="KY47" s="4"/>
      <c r="KZ47" s="4"/>
      <c r="LA47" s="4"/>
      <c r="LB47" s="4"/>
      <c r="LC47" s="4"/>
      <c r="LD47" s="4"/>
    </row>
    <row r="48" spans="1:316" s="15" customFormat="1" x14ac:dyDescent="0.3">
      <c r="A48" s="80" t="s">
        <v>162</v>
      </c>
      <c r="B48" s="65">
        <v>250</v>
      </c>
      <c r="C48" s="25">
        <f t="shared" si="5"/>
        <v>3000</v>
      </c>
      <c r="D48"/>
      <c r="E48"/>
      <c r="F48"/>
      <c r="G48"/>
      <c r="H48"/>
      <c r="I48"/>
      <c r="J48"/>
      <c r="K48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  <c r="IY48" s="4"/>
      <c r="IZ48" s="4"/>
      <c r="JA48" s="4"/>
      <c r="JB48" s="4"/>
      <c r="JC48" s="4"/>
      <c r="JD48" s="4"/>
      <c r="JE48" s="4"/>
      <c r="JF48" s="4"/>
      <c r="JG48" s="4"/>
      <c r="JH48" s="4"/>
      <c r="JI48" s="4"/>
      <c r="JJ48" s="4"/>
      <c r="JK48" s="4"/>
      <c r="JL48" s="4"/>
      <c r="JM48" s="4"/>
      <c r="JN48" s="4"/>
      <c r="JO48" s="4"/>
      <c r="JP48" s="4"/>
      <c r="JQ48" s="4"/>
      <c r="JR48" s="4"/>
      <c r="JS48" s="4"/>
      <c r="JT48" s="4"/>
      <c r="JU48" s="4"/>
      <c r="JV48" s="4"/>
      <c r="JW48" s="4"/>
      <c r="JX48" s="4"/>
      <c r="JY48" s="4"/>
      <c r="JZ48" s="4"/>
      <c r="KA48" s="4"/>
      <c r="KB48" s="4"/>
      <c r="KC48" s="4"/>
      <c r="KD48" s="4"/>
      <c r="KE48" s="4"/>
      <c r="KF48" s="4"/>
      <c r="KG48" s="4"/>
      <c r="KH48" s="4"/>
      <c r="KI48" s="4"/>
      <c r="KJ48" s="4"/>
      <c r="KK48" s="4"/>
      <c r="KL48" s="4"/>
      <c r="KM48" s="4"/>
      <c r="KN48" s="4"/>
      <c r="KO48" s="4"/>
      <c r="KP48" s="4"/>
      <c r="KQ48" s="4"/>
      <c r="KR48" s="4"/>
      <c r="KS48" s="4"/>
      <c r="KT48" s="4"/>
      <c r="KU48" s="4"/>
      <c r="KV48" s="4"/>
      <c r="KW48" s="4"/>
      <c r="KX48" s="4"/>
      <c r="KY48" s="4"/>
      <c r="KZ48" s="4"/>
      <c r="LA48" s="4"/>
      <c r="LB48" s="4"/>
      <c r="LC48" s="4"/>
      <c r="LD48" s="4"/>
    </row>
    <row r="49" spans="1:316" ht="15" thickBot="1" x14ac:dyDescent="0.35">
      <c r="A49" s="79" t="s">
        <v>163</v>
      </c>
      <c r="B49" s="68">
        <v>685</v>
      </c>
      <c r="C49" s="78">
        <f t="shared" si="5"/>
        <v>8220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  <c r="EF49" s="4"/>
      <c r="EG49" s="4"/>
      <c r="EH49" s="4"/>
      <c r="EI49" s="4"/>
      <c r="EJ49" s="4"/>
      <c r="EK49" s="4"/>
      <c r="EL49" s="4"/>
      <c r="EM49" s="4"/>
      <c r="EN49" s="4"/>
      <c r="EO49" s="4"/>
      <c r="EP49" s="4"/>
      <c r="EQ49" s="4"/>
      <c r="ER49" s="4"/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  <c r="IA49" s="4"/>
      <c r="IB49" s="4"/>
      <c r="IC49" s="4"/>
      <c r="ID49" s="4"/>
      <c r="IE49" s="4"/>
      <c r="IF49" s="4"/>
      <c r="IG49" s="4"/>
      <c r="IH49" s="4"/>
      <c r="II49" s="4"/>
      <c r="IJ49" s="4"/>
      <c r="IK49" s="4"/>
      <c r="IL49" s="4"/>
      <c r="IM49" s="4"/>
      <c r="IN49" s="4"/>
      <c r="IO49" s="4"/>
      <c r="IP49" s="4"/>
      <c r="IQ49" s="4"/>
      <c r="IR49" s="4"/>
      <c r="IS49" s="4"/>
      <c r="IT49" s="4"/>
      <c r="IU49" s="4"/>
      <c r="IV49" s="4"/>
      <c r="IW49" s="4"/>
      <c r="IX49" s="4"/>
      <c r="IY49" s="4"/>
      <c r="IZ49" s="4"/>
      <c r="JA49" s="4"/>
      <c r="JB49" s="4"/>
      <c r="JC49" s="4"/>
      <c r="JD49" s="4"/>
      <c r="JE49" s="4"/>
      <c r="JF49" s="4"/>
      <c r="JG49" s="4"/>
      <c r="JH49" s="4"/>
      <c r="JI49" s="4"/>
      <c r="JJ49" s="4"/>
      <c r="JK49" s="4"/>
      <c r="JL49" s="4"/>
      <c r="JM49" s="4"/>
      <c r="JN49" s="4"/>
      <c r="JO49" s="4"/>
      <c r="JP49" s="4"/>
      <c r="JQ49" s="4"/>
      <c r="JR49" s="4"/>
      <c r="JS49" s="4"/>
      <c r="JT49" s="4"/>
      <c r="JU49" s="4"/>
      <c r="JV49" s="4"/>
      <c r="JW49" s="4"/>
      <c r="JX49" s="4"/>
      <c r="JY49" s="4"/>
      <c r="JZ49" s="4"/>
      <c r="KA49" s="4"/>
      <c r="KB49" s="4"/>
      <c r="KC49" s="4"/>
      <c r="KD49" s="4"/>
      <c r="KE49" s="4"/>
      <c r="KF49" s="4"/>
      <c r="KG49" s="4"/>
      <c r="KH49" s="4"/>
      <c r="KI49" s="4"/>
      <c r="KJ49" s="4"/>
      <c r="KK49" s="4"/>
      <c r="KL49" s="4"/>
      <c r="KM49" s="4"/>
      <c r="KN49" s="4"/>
      <c r="KO49" s="4"/>
      <c r="KP49" s="4"/>
      <c r="KQ49" s="4"/>
      <c r="KR49" s="4"/>
      <c r="KS49" s="4"/>
      <c r="KT49" s="4"/>
      <c r="KU49" s="4"/>
      <c r="KV49" s="4"/>
      <c r="KW49" s="4"/>
      <c r="KX49" s="4"/>
      <c r="KY49" s="4"/>
      <c r="KZ49" s="4"/>
      <c r="LA49" s="4"/>
      <c r="LB49" s="4"/>
      <c r="LC49" s="4"/>
      <c r="LD49" s="4"/>
    </row>
    <row r="50" spans="1:316" s="15" customFormat="1" ht="15" thickBot="1" x14ac:dyDescent="0.35">
      <c r="A50" s="77" t="s">
        <v>4</v>
      </c>
      <c r="B50" s="76"/>
      <c r="C50" s="75">
        <f>SUM(C27:C49)</f>
        <v>107040</v>
      </c>
      <c r="D50"/>
      <c r="E50"/>
      <c r="F50"/>
      <c r="G50"/>
      <c r="H50"/>
      <c r="I50"/>
      <c r="J50"/>
      <c r="K50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  <c r="EB50" s="4"/>
      <c r="EC50" s="4"/>
      <c r="ED50" s="4"/>
      <c r="EE50" s="4"/>
      <c r="EF50" s="4"/>
      <c r="EG50" s="4"/>
      <c r="EH50" s="4"/>
      <c r="EI50" s="4"/>
      <c r="EJ50" s="4"/>
      <c r="EK50" s="4"/>
      <c r="EL50" s="4"/>
      <c r="EM50" s="4"/>
      <c r="EN50" s="4"/>
      <c r="EO50" s="4"/>
      <c r="EP50" s="4"/>
      <c r="EQ50" s="4"/>
      <c r="ER50" s="4"/>
      <c r="ES50" s="4"/>
      <c r="ET50" s="4"/>
      <c r="EU50" s="4"/>
      <c r="EV50" s="4"/>
      <c r="EW50" s="4"/>
      <c r="EX50" s="4"/>
      <c r="EY50" s="4"/>
      <c r="EZ50" s="4"/>
      <c r="FA50" s="4"/>
      <c r="FB50" s="4"/>
      <c r="FC50" s="4"/>
      <c r="FD50" s="4"/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  <c r="FS50" s="4"/>
      <c r="FT50" s="4"/>
      <c r="FU50" s="4"/>
      <c r="FV50" s="4"/>
      <c r="FW50" s="4"/>
      <c r="FX50" s="4"/>
      <c r="FY50" s="4"/>
      <c r="FZ50" s="4"/>
      <c r="GA50" s="4"/>
      <c r="GB50" s="4"/>
      <c r="GC50" s="4"/>
      <c r="GD50" s="4"/>
      <c r="GE50" s="4"/>
      <c r="GF50" s="4"/>
      <c r="GG50" s="4"/>
      <c r="GH50" s="4"/>
      <c r="GI50" s="4"/>
      <c r="GJ50" s="4"/>
      <c r="GK50" s="4"/>
      <c r="GL50" s="4"/>
      <c r="GM50" s="4"/>
      <c r="GN50" s="4"/>
      <c r="GO50" s="4"/>
      <c r="GP50" s="4"/>
      <c r="GQ50" s="4"/>
      <c r="GR50" s="4"/>
      <c r="GS50" s="4"/>
      <c r="GT50" s="4"/>
      <c r="GU50" s="4"/>
      <c r="GV50" s="4"/>
      <c r="GW50" s="4"/>
      <c r="GX50" s="4"/>
      <c r="GY50" s="4"/>
      <c r="GZ50" s="4"/>
      <c r="HA50" s="4"/>
      <c r="HB50" s="4"/>
      <c r="HC50" s="4"/>
      <c r="HD50" s="4"/>
      <c r="HE50" s="4"/>
      <c r="HF50" s="4"/>
      <c r="HG50" s="4"/>
      <c r="HH50" s="4"/>
      <c r="HI50" s="4"/>
      <c r="HJ50" s="4"/>
      <c r="HK50" s="4"/>
      <c r="HL50" s="4"/>
      <c r="HM50" s="4"/>
      <c r="HN50" s="4"/>
      <c r="HO50" s="4"/>
      <c r="HP50" s="4"/>
      <c r="HQ50" s="4"/>
      <c r="HR50" s="4"/>
      <c r="HS50" s="4"/>
      <c r="HT50" s="4"/>
      <c r="HU50" s="4"/>
      <c r="HV50" s="4"/>
      <c r="HW50" s="4"/>
      <c r="HX50" s="4"/>
      <c r="HY50" s="4"/>
      <c r="HZ50" s="4"/>
      <c r="IA50" s="4"/>
      <c r="IB50" s="4"/>
      <c r="IC50" s="4"/>
      <c r="ID50" s="4"/>
      <c r="IE50" s="4"/>
      <c r="IF50" s="4"/>
      <c r="IG50" s="4"/>
      <c r="IH50" s="4"/>
      <c r="II50" s="4"/>
      <c r="IJ50" s="4"/>
      <c r="IK50" s="4"/>
      <c r="IL50" s="4"/>
      <c r="IM50" s="4"/>
      <c r="IN50" s="4"/>
      <c r="IO50" s="4"/>
      <c r="IP50" s="4"/>
      <c r="IQ50" s="4"/>
      <c r="IR50" s="4"/>
      <c r="IS50" s="4"/>
      <c r="IT50" s="4"/>
      <c r="IU50" s="4"/>
      <c r="IV50" s="4"/>
      <c r="IW50" s="4"/>
      <c r="IX50" s="4"/>
      <c r="IY50" s="4"/>
      <c r="IZ50" s="4"/>
      <c r="JA50" s="4"/>
      <c r="JB50" s="4"/>
      <c r="JC50" s="4"/>
      <c r="JD50" s="4"/>
      <c r="JE50" s="4"/>
      <c r="JF50" s="4"/>
      <c r="JG50" s="4"/>
      <c r="JH50" s="4"/>
      <c r="JI50" s="4"/>
      <c r="JJ50" s="4"/>
      <c r="JK50" s="4"/>
      <c r="JL50" s="4"/>
      <c r="JM50" s="4"/>
      <c r="JN50" s="4"/>
      <c r="JO50" s="4"/>
      <c r="JP50" s="4"/>
      <c r="JQ50" s="4"/>
      <c r="JR50" s="4"/>
      <c r="JS50" s="4"/>
      <c r="JT50" s="4"/>
      <c r="JU50" s="4"/>
      <c r="JV50" s="4"/>
      <c r="JW50" s="4"/>
      <c r="JX50" s="4"/>
      <c r="JY50" s="4"/>
      <c r="JZ50" s="4"/>
      <c r="KA50" s="4"/>
      <c r="KB50" s="4"/>
      <c r="KC50" s="4"/>
      <c r="KD50" s="4"/>
      <c r="KE50" s="4"/>
      <c r="KF50" s="4"/>
      <c r="KG50" s="4"/>
      <c r="KH50" s="4"/>
      <c r="KI50" s="4"/>
      <c r="KJ50" s="4"/>
      <c r="KK50" s="4"/>
      <c r="KL50" s="4"/>
      <c r="KM50" s="4"/>
      <c r="KN50" s="4"/>
      <c r="KO50" s="4"/>
      <c r="KP50" s="4"/>
      <c r="KQ50" s="4"/>
      <c r="KR50" s="4"/>
      <c r="KS50" s="4"/>
      <c r="KT50" s="4"/>
      <c r="KU50" s="4"/>
      <c r="KV50" s="4"/>
      <c r="KW50" s="4"/>
      <c r="KX50" s="4"/>
      <c r="KY50" s="4"/>
      <c r="KZ50" s="4"/>
      <c r="LA50" s="4"/>
      <c r="LB50" s="4"/>
      <c r="LC50" s="4"/>
      <c r="LD50" s="4"/>
    </row>
    <row r="51" spans="1:316" ht="15" thickBot="1" x14ac:dyDescent="0.35">
      <c r="D51" s="4"/>
      <c r="E51" s="4"/>
      <c r="F51" s="4"/>
      <c r="G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  <c r="EB51" s="4"/>
      <c r="EC51" s="4"/>
      <c r="ED51" s="4"/>
      <c r="EE51" s="4"/>
      <c r="EF51" s="4"/>
      <c r="EG51" s="4"/>
      <c r="EH51" s="4"/>
      <c r="EI51" s="4"/>
      <c r="EJ51" s="4"/>
      <c r="EK51" s="4"/>
      <c r="EL51" s="4"/>
      <c r="EM51" s="4"/>
      <c r="EN51" s="4"/>
      <c r="EO51" s="4"/>
      <c r="EP51" s="4"/>
      <c r="EQ51" s="4"/>
      <c r="ER51" s="4"/>
      <c r="ES51" s="4"/>
      <c r="ET51" s="4"/>
      <c r="EU51" s="4"/>
      <c r="EV51" s="4"/>
      <c r="EW51" s="4"/>
      <c r="EX51" s="4"/>
      <c r="EY51" s="4"/>
      <c r="EZ51" s="4"/>
      <c r="FA51" s="4"/>
      <c r="FB51" s="4"/>
      <c r="FC51" s="4"/>
      <c r="FD51" s="4"/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  <c r="FS51" s="4"/>
      <c r="FT51" s="4"/>
      <c r="FU51" s="4"/>
      <c r="FV51" s="4"/>
      <c r="FW51" s="4"/>
      <c r="FX51" s="4"/>
      <c r="FY51" s="4"/>
      <c r="FZ51" s="4"/>
      <c r="GA51" s="4"/>
      <c r="GB51" s="4"/>
      <c r="GC51" s="4"/>
      <c r="GD51" s="4"/>
      <c r="GE51" s="4"/>
      <c r="GF51" s="4"/>
      <c r="GG51" s="4"/>
      <c r="GH51" s="4"/>
      <c r="GI51" s="4"/>
      <c r="GJ51" s="4"/>
      <c r="GK51" s="4"/>
      <c r="GL51" s="4"/>
      <c r="GM51" s="4"/>
      <c r="GN51" s="4"/>
      <c r="GO51" s="4"/>
      <c r="GP51" s="4"/>
      <c r="GQ51" s="4"/>
      <c r="GR51" s="4"/>
      <c r="GS51" s="4"/>
      <c r="GT51" s="4"/>
      <c r="GU51" s="4"/>
      <c r="GV51" s="4"/>
      <c r="GW51" s="4"/>
      <c r="GX51" s="4"/>
      <c r="GY51" s="4"/>
      <c r="GZ51" s="4"/>
      <c r="HA51" s="4"/>
      <c r="HB51" s="4"/>
      <c r="HC51" s="4"/>
      <c r="HD51" s="4"/>
      <c r="HE51" s="4"/>
      <c r="HF51" s="4"/>
      <c r="HG51" s="4"/>
      <c r="HH51" s="4"/>
      <c r="HI51" s="4"/>
      <c r="HJ51" s="4"/>
      <c r="HK51" s="4"/>
      <c r="HL51" s="4"/>
      <c r="HM51" s="4"/>
      <c r="HN51" s="4"/>
      <c r="HO51" s="4"/>
      <c r="HP51" s="4"/>
      <c r="HQ51" s="4"/>
      <c r="HR51" s="4"/>
      <c r="HS51" s="4"/>
      <c r="HT51" s="4"/>
      <c r="HU51" s="4"/>
      <c r="HV51" s="4"/>
      <c r="HW51" s="4"/>
      <c r="HX51" s="4"/>
      <c r="HY51" s="4"/>
      <c r="HZ51" s="4"/>
      <c r="IA51" s="4"/>
      <c r="IB51" s="4"/>
      <c r="IC51" s="4"/>
      <c r="ID51" s="4"/>
      <c r="IE51" s="4"/>
      <c r="IF51" s="4"/>
      <c r="IG51" s="4"/>
      <c r="IH51" s="4"/>
      <c r="II51" s="4"/>
      <c r="IJ51" s="4"/>
      <c r="IK51" s="4"/>
      <c r="IL51" s="4"/>
      <c r="IM51" s="4"/>
      <c r="IN51" s="4"/>
      <c r="IO51" s="4"/>
      <c r="IP51" s="4"/>
      <c r="IQ51" s="4"/>
      <c r="IR51" s="4"/>
      <c r="IS51" s="4"/>
      <c r="IT51" s="4"/>
      <c r="IU51" s="4"/>
      <c r="IV51" s="4"/>
      <c r="IW51" s="4"/>
      <c r="IX51" s="4"/>
      <c r="IY51" s="4"/>
      <c r="IZ51" s="4"/>
      <c r="JA51" s="4"/>
      <c r="JB51" s="4"/>
      <c r="JC51" s="4"/>
      <c r="JD51" s="4"/>
      <c r="JE51" s="4"/>
      <c r="JF51" s="4"/>
      <c r="JG51" s="4"/>
      <c r="JH51" s="4"/>
      <c r="JI51" s="4"/>
      <c r="JJ51" s="4"/>
      <c r="JK51" s="4"/>
      <c r="JL51" s="4"/>
      <c r="JM51" s="4"/>
      <c r="JN51" s="4"/>
      <c r="JO51" s="4"/>
      <c r="JP51" s="4"/>
      <c r="JQ51" s="4"/>
      <c r="JR51" s="4"/>
      <c r="JS51" s="4"/>
      <c r="JT51" s="4"/>
      <c r="JU51" s="4"/>
      <c r="JV51" s="4"/>
      <c r="JW51" s="4"/>
      <c r="JX51" s="4"/>
      <c r="JY51" s="4"/>
      <c r="JZ51" s="4"/>
      <c r="KA51" s="4"/>
      <c r="KB51" s="4"/>
      <c r="KC51" s="4"/>
      <c r="KD51" s="4"/>
      <c r="KE51" s="4"/>
      <c r="KF51" s="4"/>
      <c r="KG51" s="4"/>
      <c r="KH51" s="4"/>
      <c r="KI51" s="4"/>
      <c r="KJ51" s="4"/>
      <c r="KK51" s="4"/>
      <c r="KL51" s="4"/>
      <c r="KM51" s="4"/>
      <c r="KN51" s="4"/>
      <c r="KO51" s="4"/>
      <c r="KP51" s="4"/>
      <c r="KQ51" s="4"/>
      <c r="KR51" s="4"/>
      <c r="KS51" s="4"/>
      <c r="KT51" s="4"/>
      <c r="KU51" s="4"/>
      <c r="KV51" s="4"/>
      <c r="KW51" s="4"/>
      <c r="KX51" s="4"/>
      <c r="KY51" s="4"/>
      <c r="KZ51" s="4"/>
      <c r="LA51" s="4"/>
      <c r="LB51" s="4"/>
      <c r="LC51" s="4"/>
      <c r="LD51" s="4"/>
    </row>
    <row r="52" spans="1:316" s="15" customFormat="1" x14ac:dyDescent="0.3">
      <c r="A52" s="74" t="s">
        <v>164</v>
      </c>
      <c r="B52" s="74" t="s">
        <v>17</v>
      </c>
      <c r="C52" s="74" t="s">
        <v>18</v>
      </c>
      <c r="D52" s="74" t="s">
        <v>165</v>
      </c>
      <c r="E52" s="74" t="s">
        <v>140</v>
      </c>
      <c r="F52" s="74" t="s">
        <v>166</v>
      </c>
      <c r="G52" s="73" t="s">
        <v>167</v>
      </c>
      <c r="H52"/>
      <c r="I52"/>
      <c r="J52"/>
      <c r="K52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  <c r="EF52" s="4"/>
      <c r="EG52" s="4"/>
      <c r="EH52" s="4"/>
      <c r="EI52" s="4"/>
      <c r="EJ52" s="4"/>
      <c r="EK52" s="4"/>
      <c r="EL52" s="4"/>
      <c r="EM52" s="4"/>
      <c r="EN52" s="4"/>
      <c r="EO52" s="4"/>
      <c r="EP52" s="4"/>
      <c r="EQ52" s="4"/>
      <c r="ER52" s="4"/>
      <c r="ES52" s="4"/>
      <c r="ET52" s="4"/>
      <c r="EU52" s="4"/>
      <c r="EV52" s="4"/>
      <c r="EW52" s="4"/>
      <c r="EX52" s="4"/>
      <c r="EY52" s="4"/>
      <c r="EZ52" s="4"/>
      <c r="FA52" s="4"/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  <c r="HK52" s="4"/>
      <c r="HL52" s="4"/>
      <c r="HM52" s="4"/>
      <c r="HN52" s="4"/>
      <c r="HO52" s="4"/>
      <c r="HP52" s="4"/>
      <c r="HQ52" s="4"/>
      <c r="HR52" s="4"/>
      <c r="HS52" s="4"/>
      <c r="HT52" s="4"/>
      <c r="HU52" s="4"/>
      <c r="HV52" s="4"/>
      <c r="HW52" s="4"/>
      <c r="HX52" s="4"/>
      <c r="HY52" s="4"/>
      <c r="HZ52" s="4"/>
      <c r="IA52" s="4"/>
      <c r="IB52" s="4"/>
      <c r="IC52" s="4"/>
      <c r="ID52" s="4"/>
      <c r="IE52" s="4"/>
      <c r="IF52" s="4"/>
      <c r="IG52" s="4"/>
      <c r="IH52" s="4"/>
      <c r="II52" s="4"/>
      <c r="IJ52" s="4"/>
      <c r="IK52" s="4"/>
      <c r="IL52" s="4"/>
      <c r="IM52" s="4"/>
      <c r="IN52" s="4"/>
      <c r="IO52" s="4"/>
      <c r="IP52" s="4"/>
      <c r="IQ52" s="4"/>
      <c r="IR52" s="4"/>
      <c r="IS52" s="4"/>
      <c r="IT52" s="4"/>
      <c r="IU52" s="4"/>
      <c r="IV52" s="4"/>
      <c r="IW52" s="4"/>
      <c r="IX52" s="4"/>
      <c r="IY52" s="4"/>
      <c r="IZ52" s="4"/>
      <c r="JA52" s="4"/>
      <c r="JB52" s="4"/>
      <c r="JC52" s="4"/>
      <c r="JD52" s="4"/>
      <c r="JE52" s="4"/>
      <c r="JF52" s="4"/>
      <c r="JG52" s="4"/>
      <c r="JH52" s="4"/>
      <c r="JI52" s="4"/>
      <c r="JJ52" s="4"/>
      <c r="JK52" s="4"/>
      <c r="JL52" s="4"/>
      <c r="JM52" s="4"/>
      <c r="JN52" s="4"/>
      <c r="JO52" s="4"/>
      <c r="JP52" s="4"/>
      <c r="JQ52" s="4"/>
      <c r="JR52" s="4"/>
      <c r="JS52" s="4"/>
      <c r="JT52" s="4"/>
      <c r="JU52" s="4"/>
      <c r="JV52" s="4"/>
      <c r="JW52" s="4"/>
      <c r="JX52" s="4"/>
      <c r="JY52" s="4"/>
      <c r="JZ52" s="4"/>
      <c r="KA52" s="4"/>
      <c r="KB52" s="4"/>
      <c r="KC52" s="4"/>
      <c r="KD52" s="4"/>
      <c r="KE52" s="4"/>
      <c r="KF52" s="4"/>
      <c r="KG52" s="4"/>
      <c r="KH52" s="4"/>
      <c r="KI52" s="4"/>
      <c r="KJ52" s="4"/>
      <c r="KK52" s="4"/>
      <c r="KL52" s="4"/>
      <c r="KM52" s="4"/>
      <c r="KN52" s="4"/>
      <c r="KO52" s="4"/>
      <c r="KP52" s="4"/>
      <c r="KQ52" s="4"/>
      <c r="KR52" s="4"/>
      <c r="KS52" s="4"/>
      <c r="KT52" s="4"/>
      <c r="KU52" s="4"/>
      <c r="KV52" s="4"/>
      <c r="KW52" s="4"/>
      <c r="KX52" s="4"/>
      <c r="KY52" s="4"/>
      <c r="KZ52" s="4"/>
      <c r="LA52" s="4"/>
      <c r="LB52" s="4"/>
      <c r="LC52" s="4"/>
      <c r="LD52" s="4"/>
    </row>
    <row r="53" spans="1:316" x14ac:dyDescent="0.3">
      <c r="A53" s="32" t="s">
        <v>170</v>
      </c>
      <c r="B53" s="67">
        <v>1</v>
      </c>
      <c r="C53" s="68">
        <v>8000</v>
      </c>
      <c r="D53" s="31">
        <f t="shared" ref="D53:D60" si="6">C53*B53</f>
        <v>8000</v>
      </c>
      <c r="E53" s="31">
        <f>D53</f>
        <v>8000</v>
      </c>
      <c r="F53" s="67" t="s">
        <v>168</v>
      </c>
      <c r="G53" s="66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  <c r="EF53" s="4"/>
      <c r="EG53" s="4"/>
      <c r="EH53" s="4"/>
      <c r="EI53" s="4"/>
      <c r="EJ53" s="4"/>
      <c r="EK53" s="4"/>
      <c r="EL53" s="4"/>
      <c r="EM53" s="4"/>
      <c r="EN53" s="4"/>
      <c r="EO53" s="4"/>
      <c r="EP53" s="4"/>
      <c r="EQ53" s="4"/>
      <c r="ER53" s="4"/>
      <c r="ES53" s="4"/>
      <c r="ET53" s="4"/>
      <c r="EU53" s="4"/>
      <c r="EV53" s="4"/>
      <c r="EW53" s="4"/>
      <c r="EX53" s="4"/>
      <c r="EY53" s="4"/>
      <c r="EZ53" s="4"/>
      <c r="FA53" s="4"/>
      <c r="FB53" s="4"/>
      <c r="FC53" s="4"/>
      <c r="FD53" s="4"/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  <c r="HK53" s="4"/>
      <c r="HL53" s="4"/>
      <c r="HM53" s="4"/>
      <c r="HN53" s="4"/>
      <c r="HO53" s="4"/>
      <c r="HP53" s="4"/>
      <c r="HQ53" s="4"/>
      <c r="HR53" s="4"/>
      <c r="HS53" s="4"/>
      <c r="HT53" s="4"/>
      <c r="HU53" s="4"/>
      <c r="HV53" s="4"/>
      <c r="HW53" s="4"/>
      <c r="HX53" s="4"/>
      <c r="HY53" s="4"/>
      <c r="HZ53" s="4"/>
      <c r="IA53" s="4"/>
      <c r="IB53" s="4"/>
      <c r="IC53" s="4"/>
      <c r="ID53" s="4"/>
      <c r="IE53" s="4"/>
      <c r="IF53" s="4"/>
      <c r="IG53" s="4"/>
      <c r="IH53" s="4"/>
      <c r="II53" s="4"/>
      <c r="IJ53" s="4"/>
      <c r="IK53" s="4"/>
      <c r="IL53" s="4"/>
      <c r="IM53" s="4"/>
      <c r="IN53" s="4"/>
      <c r="IO53" s="4"/>
      <c r="IP53" s="4"/>
      <c r="IQ53" s="4"/>
      <c r="IR53" s="4"/>
      <c r="IS53" s="4"/>
      <c r="IT53" s="4"/>
      <c r="IU53" s="4"/>
      <c r="IV53" s="4"/>
      <c r="IW53" s="4"/>
      <c r="IX53" s="4"/>
      <c r="IY53" s="4"/>
      <c r="IZ53" s="4"/>
      <c r="JA53" s="4"/>
      <c r="JB53" s="4"/>
      <c r="JC53" s="4"/>
      <c r="JD53" s="4"/>
      <c r="JE53" s="4"/>
      <c r="JF53" s="4"/>
      <c r="JG53" s="4"/>
      <c r="JH53" s="4"/>
      <c r="JI53" s="4"/>
      <c r="JJ53" s="4"/>
      <c r="JK53" s="4"/>
      <c r="JL53" s="4"/>
      <c r="JM53" s="4"/>
      <c r="JN53" s="4"/>
      <c r="JO53" s="4"/>
      <c r="JP53" s="4"/>
      <c r="JQ53" s="4"/>
      <c r="JR53" s="4"/>
      <c r="JS53" s="4"/>
      <c r="JT53" s="4"/>
      <c r="JU53" s="4"/>
      <c r="JV53" s="4"/>
      <c r="JW53" s="4"/>
      <c r="JX53" s="4"/>
      <c r="JY53" s="4"/>
      <c r="JZ53" s="4"/>
      <c r="KA53" s="4"/>
      <c r="KB53" s="4"/>
      <c r="KC53" s="4"/>
      <c r="KD53" s="4"/>
      <c r="KE53" s="4"/>
      <c r="KF53" s="4"/>
      <c r="KG53" s="4"/>
      <c r="KH53" s="4"/>
      <c r="KI53" s="4"/>
      <c r="KJ53" s="4"/>
      <c r="KK53" s="4"/>
      <c r="KL53" s="4"/>
      <c r="KM53" s="4"/>
      <c r="KN53" s="4"/>
      <c r="KO53" s="4"/>
      <c r="KP53" s="4"/>
      <c r="KQ53" s="4"/>
      <c r="KR53" s="4"/>
      <c r="KS53" s="4"/>
      <c r="KT53" s="4"/>
      <c r="KU53" s="4"/>
      <c r="KV53" s="4"/>
      <c r="KW53" s="4"/>
      <c r="KX53" s="4"/>
      <c r="KY53" s="4"/>
      <c r="KZ53" s="4"/>
      <c r="LA53" s="4"/>
      <c r="LB53" s="4"/>
      <c r="LC53" s="4"/>
      <c r="LD53" s="4"/>
    </row>
    <row r="54" spans="1:316" s="15" customFormat="1" x14ac:dyDescent="0.3">
      <c r="A54" s="29" t="s">
        <v>171</v>
      </c>
      <c r="B54" s="64">
        <v>3</v>
      </c>
      <c r="C54" s="65">
        <v>1000</v>
      </c>
      <c r="D54" s="28">
        <f t="shared" si="6"/>
        <v>3000</v>
      </c>
      <c r="E54" s="28">
        <f>D54/G54</f>
        <v>750</v>
      </c>
      <c r="F54" s="70" t="s">
        <v>169</v>
      </c>
      <c r="G54" s="69">
        <v>4</v>
      </c>
      <c r="H54"/>
      <c r="I54"/>
      <c r="J54"/>
      <c r="K5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  <c r="EF54" s="4"/>
      <c r="EG54" s="4"/>
      <c r="EH54" s="4"/>
      <c r="EI54" s="4"/>
      <c r="EJ54" s="4"/>
      <c r="EK54" s="4"/>
      <c r="EL54" s="4"/>
      <c r="EM54" s="4"/>
      <c r="EN54" s="4"/>
      <c r="EO54" s="4"/>
      <c r="EP54" s="4"/>
      <c r="EQ54" s="4"/>
      <c r="ER54" s="4"/>
      <c r="ES54" s="4"/>
      <c r="ET54" s="4"/>
      <c r="EU54" s="4"/>
      <c r="EV54" s="4"/>
      <c r="EW54" s="4"/>
      <c r="EX54" s="4"/>
      <c r="EY54" s="4"/>
      <c r="EZ54" s="4"/>
      <c r="FA54" s="4"/>
      <c r="FB54" s="4"/>
      <c r="FC54" s="4"/>
      <c r="FD54" s="4"/>
      <c r="FE54" s="4"/>
      <c r="FF54" s="4"/>
      <c r="FG54" s="4"/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  <c r="HK54" s="4"/>
      <c r="HL54" s="4"/>
      <c r="HM54" s="4"/>
      <c r="HN54" s="4"/>
      <c r="HO54" s="4"/>
      <c r="HP54" s="4"/>
      <c r="HQ54" s="4"/>
      <c r="HR54" s="4"/>
      <c r="HS54" s="4"/>
      <c r="HT54" s="4"/>
      <c r="HU54" s="4"/>
      <c r="HV54" s="4"/>
      <c r="HW54" s="4"/>
      <c r="HX54" s="4"/>
      <c r="HY54" s="4"/>
      <c r="HZ54" s="4"/>
      <c r="IA54" s="4"/>
      <c r="IB54" s="4"/>
      <c r="IC54" s="4"/>
      <c r="ID54" s="4"/>
      <c r="IE54" s="4"/>
      <c r="IF54" s="4"/>
      <c r="IG54" s="4"/>
      <c r="IH54" s="4"/>
      <c r="II54" s="4"/>
      <c r="IJ54" s="4"/>
      <c r="IK54" s="4"/>
      <c r="IL54" s="4"/>
      <c r="IM54" s="4"/>
      <c r="IN54" s="4"/>
      <c r="IO54" s="4"/>
      <c r="IP54" s="4"/>
      <c r="IQ54" s="4"/>
      <c r="IR54" s="4"/>
      <c r="IS54" s="4"/>
      <c r="IT54" s="4"/>
      <c r="IU54" s="4"/>
      <c r="IV54" s="4"/>
      <c r="IW54" s="4"/>
      <c r="IX54" s="4"/>
      <c r="IY54" s="4"/>
      <c r="IZ54" s="4"/>
      <c r="JA54" s="4"/>
      <c r="JB54" s="4"/>
      <c r="JC54" s="4"/>
      <c r="JD54" s="4"/>
      <c r="JE54" s="4"/>
      <c r="JF54" s="4"/>
      <c r="JG54" s="4"/>
      <c r="JH54" s="4"/>
      <c r="JI54" s="4"/>
      <c r="JJ54" s="4"/>
      <c r="JK54" s="4"/>
      <c r="JL54" s="4"/>
      <c r="JM54" s="4"/>
      <c r="JN54" s="4"/>
      <c r="JO54" s="4"/>
      <c r="JP54" s="4"/>
      <c r="JQ54" s="4"/>
      <c r="JR54" s="4"/>
      <c r="JS54" s="4"/>
      <c r="JT54" s="4"/>
      <c r="JU54" s="4"/>
      <c r="JV54" s="4"/>
      <c r="JW54" s="4"/>
      <c r="JX54" s="4"/>
      <c r="JY54" s="4"/>
      <c r="JZ54" s="4"/>
      <c r="KA54" s="4"/>
      <c r="KB54" s="4"/>
      <c r="KC54" s="4"/>
      <c r="KD54" s="4"/>
      <c r="KE54" s="4"/>
      <c r="KF54" s="4"/>
      <c r="KG54" s="4"/>
      <c r="KH54" s="4"/>
      <c r="KI54" s="4"/>
      <c r="KJ54" s="4"/>
      <c r="KK54" s="4"/>
      <c r="KL54" s="4"/>
      <c r="KM54" s="4"/>
      <c r="KN54" s="4"/>
      <c r="KO54" s="4"/>
      <c r="KP54" s="4"/>
      <c r="KQ54" s="4"/>
      <c r="KR54" s="4"/>
      <c r="KS54" s="4"/>
      <c r="KT54" s="4"/>
      <c r="KU54" s="4"/>
      <c r="KV54" s="4"/>
      <c r="KW54" s="4"/>
      <c r="KX54" s="4"/>
      <c r="KY54" s="4"/>
      <c r="KZ54" s="4"/>
      <c r="LA54" s="4"/>
      <c r="LB54" s="4"/>
      <c r="LC54" s="4"/>
      <c r="LD54" s="4"/>
    </row>
    <row r="55" spans="1:316" x14ac:dyDescent="0.3">
      <c r="A55" s="32" t="s">
        <v>172</v>
      </c>
      <c r="B55" s="67">
        <v>6</v>
      </c>
      <c r="C55" s="68">
        <v>1400</v>
      </c>
      <c r="D55" s="31">
        <f t="shared" si="6"/>
        <v>8400</v>
      </c>
      <c r="E55" s="31">
        <f>D55/G55</f>
        <v>2100</v>
      </c>
      <c r="F55" s="72" t="s">
        <v>169</v>
      </c>
      <c r="G55" s="71">
        <v>4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</row>
    <row r="56" spans="1:316" s="15" customFormat="1" x14ac:dyDescent="0.3">
      <c r="A56" s="29" t="s">
        <v>173</v>
      </c>
      <c r="B56" s="64">
        <v>5</v>
      </c>
      <c r="C56" s="65">
        <v>1500</v>
      </c>
      <c r="D56" s="28">
        <f t="shared" si="6"/>
        <v>7500</v>
      </c>
      <c r="E56" s="28">
        <f>D56/G56</f>
        <v>1875</v>
      </c>
      <c r="F56" s="70" t="s">
        <v>169</v>
      </c>
      <c r="G56" s="69">
        <v>4</v>
      </c>
      <c r="H56"/>
      <c r="I56"/>
      <c r="J56"/>
      <c r="K56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  <c r="EB56" s="4"/>
      <c r="EC56" s="4"/>
      <c r="ED56" s="4"/>
      <c r="EE56" s="4"/>
      <c r="EF56" s="4"/>
      <c r="EG56" s="4"/>
      <c r="EH56" s="4"/>
      <c r="EI56" s="4"/>
      <c r="EJ56" s="4"/>
      <c r="EK56" s="4"/>
      <c r="EL56" s="4"/>
      <c r="EM56" s="4"/>
      <c r="EN56" s="4"/>
      <c r="EO56" s="4"/>
      <c r="EP56" s="4"/>
      <c r="EQ56" s="4"/>
      <c r="ER56" s="4"/>
      <c r="ES56" s="4"/>
      <c r="ET56" s="4"/>
      <c r="EU56" s="4"/>
      <c r="EV56" s="4"/>
      <c r="EW56" s="4"/>
      <c r="EX56" s="4"/>
      <c r="EY56" s="4"/>
      <c r="EZ56" s="4"/>
      <c r="FA56" s="4"/>
      <c r="FB56" s="4"/>
      <c r="FC56" s="4"/>
      <c r="FD56" s="4"/>
      <c r="FE56" s="4"/>
      <c r="FF56" s="4"/>
      <c r="FG56" s="4"/>
      <c r="FH56" s="4"/>
      <c r="FI56" s="4"/>
      <c r="FJ56" s="4"/>
      <c r="FK56" s="4"/>
      <c r="FL56" s="4"/>
      <c r="FM56" s="4"/>
      <c r="FN56" s="4"/>
      <c r="FO56" s="4"/>
      <c r="FP56" s="4"/>
      <c r="FQ56" s="4"/>
      <c r="FR56" s="4"/>
      <c r="FS56" s="4"/>
      <c r="FT56" s="4"/>
      <c r="FU56" s="4"/>
      <c r="FV56" s="4"/>
      <c r="FW56" s="4"/>
      <c r="FX56" s="4"/>
      <c r="FY56" s="4"/>
      <c r="FZ56" s="4"/>
      <c r="GA56" s="4"/>
      <c r="GB56" s="4"/>
      <c r="GC56" s="4"/>
      <c r="GD56" s="4"/>
      <c r="GE56" s="4"/>
      <c r="GF56" s="4"/>
      <c r="GG56" s="4"/>
      <c r="GH56" s="4"/>
      <c r="GI56" s="4"/>
      <c r="GJ56" s="4"/>
      <c r="GK56" s="4"/>
      <c r="GL56" s="4"/>
      <c r="GM56" s="4"/>
      <c r="GN56" s="4"/>
      <c r="GO56" s="4"/>
      <c r="GP56" s="4"/>
      <c r="GQ56" s="4"/>
      <c r="GR56" s="4"/>
      <c r="GS56" s="4"/>
      <c r="GT56" s="4"/>
      <c r="GU56" s="4"/>
      <c r="GV56" s="4"/>
      <c r="GW56" s="4"/>
      <c r="GX56" s="4"/>
      <c r="GY56" s="4"/>
      <c r="GZ56" s="4"/>
      <c r="HA56" s="4"/>
      <c r="HB56" s="4"/>
      <c r="HC56" s="4"/>
      <c r="HD56" s="4"/>
      <c r="HE56" s="4"/>
      <c r="HF56" s="4"/>
      <c r="HG56" s="4"/>
      <c r="HH56" s="4"/>
      <c r="HI56" s="4"/>
      <c r="HJ56" s="4"/>
      <c r="HK56" s="4"/>
      <c r="HL56" s="4"/>
      <c r="HM56" s="4"/>
      <c r="HN56" s="4"/>
      <c r="HO56" s="4"/>
      <c r="HP56" s="4"/>
      <c r="HQ56" s="4"/>
      <c r="HR56" s="4"/>
      <c r="HS56" s="4"/>
      <c r="HT56" s="4"/>
      <c r="HU56" s="4"/>
      <c r="HV56" s="4"/>
      <c r="HW56" s="4"/>
      <c r="HX56" s="4"/>
      <c r="HY56" s="4"/>
      <c r="HZ56" s="4"/>
      <c r="IA56" s="4"/>
      <c r="IB56" s="4"/>
      <c r="IC56" s="4"/>
      <c r="ID56" s="4"/>
      <c r="IE56" s="4"/>
      <c r="IF56" s="4"/>
      <c r="IG56" s="4"/>
      <c r="IH56" s="4"/>
      <c r="II56" s="4"/>
      <c r="IJ56" s="4"/>
      <c r="IK56" s="4"/>
      <c r="IL56" s="4"/>
      <c r="IM56" s="4"/>
      <c r="IN56" s="4"/>
      <c r="IO56" s="4"/>
      <c r="IP56" s="4"/>
      <c r="IQ56" s="4"/>
      <c r="IR56" s="4"/>
      <c r="IS56" s="4"/>
      <c r="IT56" s="4"/>
      <c r="IU56" s="4"/>
      <c r="IV56" s="4"/>
      <c r="IW56" s="4"/>
      <c r="IX56" s="4"/>
      <c r="IY56" s="4"/>
      <c r="IZ56" s="4"/>
      <c r="JA56" s="4"/>
      <c r="JB56" s="4"/>
      <c r="JC56" s="4"/>
      <c r="JD56" s="4"/>
      <c r="JE56" s="4"/>
      <c r="JF56" s="4"/>
      <c r="JG56" s="4"/>
      <c r="JH56" s="4"/>
      <c r="JI56" s="4"/>
      <c r="JJ56" s="4"/>
      <c r="JK56" s="4"/>
      <c r="JL56" s="4"/>
      <c r="JM56" s="4"/>
      <c r="JN56" s="4"/>
      <c r="JO56" s="4"/>
      <c r="JP56" s="4"/>
      <c r="JQ56" s="4"/>
      <c r="JR56" s="4"/>
      <c r="JS56" s="4"/>
      <c r="JT56" s="4"/>
      <c r="JU56" s="4"/>
      <c r="JV56" s="4"/>
      <c r="JW56" s="4"/>
      <c r="JX56" s="4"/>
      <c r="JY56" s="4"/>
      <c r="JZ56" s="4"/>
      <c r="KA56" s="4"/>
      <c r="KB56" s="4"/>
      <c r="KC56" s="4"/>
      <c r="KD56" s="4"/>
      <c r="KE56" s="4"/>
      <c r="KF56" s="4"/>
      <c r="KG56" s="4"/>
      <c r="KH56" s="4"/>
      <c r="KI56" s="4"/>
      <c r="KJ56" s="4"/>
      <c r="KK56" s="4"/>
      <c r="KL56" s="4"/>
      <c r="KM56" s="4"/>
      <c r="KN56" s="4"/>
      <c r="KO56" s="4"/>
      <c r="KP56" s="4"/>
      <c r="KQ56" s="4"/>
      <c r="KR56" s="4"/>
      <c r="KS56" s="4"/>
      <c r="KT56" s="4"/>
      <c r="KU56" s="4"/>
      <c r="KV56" s="4"/>
      <c r="KW56" s="4"/>
      <c r="KX56" s="4"/>
      <c r="KY56" s="4"/>
      <c r="KZ56" s="4"/>
      <c r="LA56" s="4"/>
      <c r="LB56" s="4"/>
      <c r="LC56" s="4"/>
      <c r="LD56" s="4"/>
    </row>
    <row r="57" spans="1:316" x14ac:dyDescent="0.3">
      <c r="A57" s="32" t="s">
        <v>174</v>
      </c>
      <c r="B57" s="67">
        <v>10</v>
      </c>
      <c r="C57" s="68">
        <v>200</v>
      </c>
      <c r="D57" s="31">
        <f t="shared" si="6"/>
        <v>2000</v>
      </c>
      <c r="E57" s="31">
        <f>D57</f>
        <v>2000</v>
      </c>
      <c r="F57" s="67" t="s">
        <v>168</v>
      </c>
      <c r="G57" s="66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  <c r="EB57" s="4"/>
      <c r="EC57" s="4"/>
      <c r="ED57" s="4"/>
      <c r="EE57" s="4"/>
      <c r="EF57" s="4"/>
      <c r="EG57" s="4"/>
      <c r="EH57" s="4"/>
      <c r="EI57" s="4"/>
      <c r="EJ57" s="4"/>
      <c r="EK57" s="4"/>
      <c r="EL57" s="4"/>
      <c r="EM57" s="4"/>
      <c r="EN57" s="4"/>
      <c r="EO57" s="4"/>
      <c r="EP57" s="4"/>
      <c r="EQ57" s="4"/>
      <c r="ER57" s="4"/>
      <c r="ES57" s="4"/>
      <c r="ET57" s="4"/>
      <c r="EU57" s="4"/>
      <c r="EV57" s="4"/>
      <c r="EW57" s="4"/>
      <c r="EX57" s="4"/>
      <c r="EY57" s="4"/>
      <c r="EZ57" s="4"/>
      <c r="FA57" s="4"/>
      <c r="FB57" s="4"/>
      <c r="FC57" s="4"/>
      <c r="FD57" s="4"/>
      <c r="FE57" s="4"/>
      <c r="FF57" s="4"/>
      <c r="FG57" s="4"/>
      <c r="FH57" s="4"/>
      <c r="FI57" s="4"/>
      <c r="FJ57" s="4"/>
      <c r="FK57" s="4"/>
      <c r="FL57" s="4"/>
      <c r="FM57" s="4"/>
      <c r="FN57" s="4"/>
      <c r="FO57" s="4"/>
      <c r="FP57" s="4"/>
      <c r="FQ57" s="4"/>
      <c r="FR57" s="4"/>
      <c r="FS57" s="4"/>
      <c r="FT57" s="4"/>
      <c r="FU57" s="4"/>
      <c r="FV57" s="4"/>
      <c r="FW57" s="4"/>
      <c r="FX57" s="4"/>
      <c r="FY57" s="4"/>
      <c r="FZ57" s="4"/>
      <c r="GA57" s="4"/>
      <c r="GB57" s="4"/>
      <c r="GC57" s="4"/>
      <c r="GD57" s="4"/>
      <c r="GE57" s="4"/>
      <c r="GF57" s="4"/>
      <c r="GG57" s="4"/>
      <c r="GH57" s="4"/>
      <c r="GI57" s="4"/>
      <c r="GJ57" s="4"/>
      <c r="GK57" s="4"/>
      <c r="GL57" s="4"/>
      <c r="GM57" s="4"/>
      <c r="GN57" s="4"/>
      <c r="GO57" s="4"/>
      <c r="GP57" s="4"/>
      <c r="GQ57" s="4"/>
      <c r="GR57" s="4"/>
      <c r="GS57" s="4"/>
      <c r="GT57" s="4"/>
      <c r="GU57" s="4"/>
      <c r="GV57" s="4"/>
      <c r="GW57" s="4"/>
      <c r="GX57" s="4"/>
      <c r="GY57" s="4"/>
      <c r="GZ57" s="4"/>
      <c r="HA57" s="4"/>
      <c r="HB57" s="4"/>
      <c r="HC57" s="4"/>
      <c r="HD57" s="4"/>
      <c r="HE57" s="4"/>
      <c r="HF57" s="4"/>
      <c r="HG57" s="4"/>
      <c r="HH57" s="4"/>
      <c r="HI57" s="4"/>
      <c r="HJ57" s="4"/>
      <c r="HK57" s="4"/>
      <c r="HL57" s="4"/>
      <c r="HM57" s="4"/>
      <c r="HN57" s="4"/>
      <c r="HO57" s="4"/>
      <c r="HP57" s="4"/>
      <c r="HQ57" s="4"/>
      <c r="HR57" s="4"/>
      <c r="HS57" s="4"/>
      <c r="HT57" s="4"/>
      <c r="HU57" s="4"/>
      <c r="HV57" s="4"/>
      <c r="HW57" s="4"/>
      <c r="HX57" s="4"/>
      <c r="HY57" s="4"/>
      <c r="HZ57" s="4"/>
      <c r="IA57" s="4"/>
      <c r="IB57" s="4"/>
      <c r="IC57" s="4"/>
      <c r="ID57" s="4"/>
      <c r="IE57" s="4"/>
      <c r="IF57" s="4"/>
      <c r="IG57" s="4"/>
      <c r="IH57" s="4"/>
      <c r="II57" s="4"/>
      <c r="IJ57" s="4"/>
      <c r="IK57" s="4"/>
      <c r="IL57" s="4"/>
      <c r="IM57" s="4"/>
      <c r="IN57" s="4"/>
      <c r="IO57" s="4"/>
      <c r="IP57" s="4"/>
      <c r="IQ57" s="4"/>
      <c r="IR57" s="4"/>
      <c r="IS57" s="4"/>
      <c r="IT57" s="4"/>
      <c r="IU57" s="4"/>
      <c r="IV57" s="4"/>
      <c r="IW57" s="4"/>
      <c r="IX57" s="4"/>
      <c r="IY57" s="4"/>
      <c r="IZ57" s="4"/>
      <c r="JA57" s="4"/>
      <c r="JB57" s="4"/>
      <c r="JC57" s="4"/>
      <c r="JD57" s="4"/>
      <c r="JE57" s="4"/>
      <c r="JF57" s="4"/>
      <c r="JG57" s="4"/>
      <c r="JH57" s="4"/>
      <c r="JI57" s="4"/>
      <c r="JJ57" s="4"/>
      <c r="JK57" s="4"/>
      <c r="JL57" s="4"/>
      <c r="JM57" s="4"/>
      <c r="JN57" s="4"/>
      <c r="JO57" s="4"/>
      <c r="JP57" s="4"/>
      <c r="JQ57" s="4"/>
      <c r="JR57" s="4"/>
      <c r="JS57" s="4"/>
      <c r="JT57" s="4"/>
      <c r="JU57" s="4"/>
      <c r="JV57" s="4"/>
      <c r="JW57" s="4"/>
      <c r="JX57" s="4"/>
      <c r="JY57" s="4"/>
      <c r="JZ57" s="4"/>
      <c r="KA57" s="4"/>
      <c r="KB57" s="4"/>
      <c r="KC57" s="4"/>
      <c r="KD57" s="4"/>
      <c r="KE57" s="4"/>
      <c r="KF57" s="4"/>
      <c r="KG57" s="4"/>
      <c r="KH57" s="4"/>
      <c r="KI57" s="4"/>
      <c r="KJ57" s="4"/>
      <c r="KK57" s="4"/>
      <c r="KL57" s="4"/>
      <c r="KM57" s="4"/>
      <c r="KN57" s="4"/>
      <c r="KO57" s="4"/>
      <c r="KP57" s="4"/>
      <c r="KQ57" s="4"/>
      <c r="KR57" s="4"/>
      <c r="KS57" s="4"/>
      <c r="KT57" s="4"/>
      <c r="KU57" s="4"/>
      <c r="KV57" s="4"/>
      <c r="KW57" s="4"/>
      <c r="KX57" s="4"/>
      <c r="KY57" s="4"/>
      <c r="KZ57" s="4"/>
      <c r="LA57" s="4"/>
      <c r="LB57" s="4"/>
      <c r="LC57" s="4"/>
      <c r="LD57" s="4"/>
    </row>
    <row r="58" spans="1:316" s="15" customFormat="1" x14ac:dyDescent="0.3">
      <c r="A58" s="29" t="s">
        <v>175</v>
      </c>
      <c r="B58" s="64">
        <v>1</v>
      </c>
      <c r="C58" s="65">
        <v>99</v>
      </c>
      <c r="D58" s="28">
        <f t="shared" si="6"/>
        <v>99</v>
      </c>
      <c r="E58" s="28">
        <f>D58</f>
        <v>99</v>
      </c>
      <c r="F58" s="64" t="s">
        <v>168</v>
      </c>
      <c r="G58" s="40"/>
      <c r="H58"/>
      <c r="I58"/>
      <c r="J58"/>
      <c r="K58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  <c r="EB58" s="4"/>
      <c r="EC58" s="4"/>
      <c r="ED58" s="4"/>
      <c r="EE58" s="4"/>
      <c r="EF58" s="4"/>
      <c r="EG58" s="4"/>
      <c r="EH58" s="4"/>
      <c r="EI58" s="4"/>
      <c r="EJ58" s="4"/>
      <c r="EK58" s="4"/>
      <c r="EL58" s="4"/>
      <c r="EM58" s="4"/>
      <c r="EN58" s="4"/>
      <c r="EO58" s="4"/>
      <c r="EP58" s="4"/>
      <c r="EQ58" s="4"/>
      <c r="ER58" s="4"/>
      <c r="ES58" s="4"/>
      <c r="ET58" s="4"/>
      <c r="EU58" s="4"/>
      <c r="EV58" s="4"/>
      <c r="EW58" s="4"/>
      <c r="EX58" s="4"/>
      <c r="EY58" s="4"/>
      <c r="EZ58" s="4"/>
      <c r="FA58" s="4"/>
      <c r="FB58" s="4"/>
      <c r="FC58" s="4"/>
      <c r="FD58" s="4"/>
      <c r="FE58" s="4"/>
      <c r="FF58" s="4"/>
      <c r="FG58" s="4"/>
      <c r="FH58" s="4"/>
      <c r="FI58" s="4"/>
      <c r="FJ58" s="4"/>
      <c r="FK58" s="4"/>
      <c r="FL58" s="4"/>
      <c r="FM58" s="4"/>
      <c r="FN58" s="4"/>
      <c r="FO58" s="4"/>
      <c r="FP58" s="4"/>
      <c r="FQ58" s="4"/>
      <c r="FR58" s="4"/>
      <c r="FS58" s="4"/>
      <c r="FT58" s="4"/>
      <c r="FU58" s="4"/>
      <c r="FV58" s="4"/>
      <c r="FW58" s="4"/>
      <c r="FX58" s="4"/>
      <c r="FY58" s="4"/>
      <c r="FZ58" s="4"/>
      <c r="GA58" s="4"/>
      <c r="GB58" s="4"/>
      <c r="GC58" s="4"/>
      <c r="GD58" s="4"/>
      <c r="GE58" s="4"/>
      <c r="GF58" s="4"/>
      <c r="GG58" s="4"/>
      <c r="GH58" s="4"/>
      <c r="GI58" s="4"/>
      <c r="GJ58" s="4"/>
      <c r="GK58" s="4"/>
      <c r="GL58" s="4"/>
      <c r="GM58" s="4"/>
      <c r="GN58" s="4"/>
      <c r="GO58" s="4"/>
      <c r="GP58" s="4"/>
      <c r="GQ58" s="4"/>
      <c r="GR58" s="4"/>
      <c r="GS58" s="4"/>
      <c r="GT58" s="4"/>
      <c r="GU58" s="4"/>
      <c r="GV58" s="4"/>
      <c r="GW58" s="4"/>
      <c r="GX58" s="4"/>
      <c r="GY58" s="4"/>
      <c r="GZ58" s="4"/>
      <c r="HA58" s="4"/>
      <c r="HB58" s="4"/>
      <c r="HC58" s="4"/>
      <c r="HD58" s="4"/>
      <c r="HE58" s="4"/>
      <c r="HF58" s="4"/>
      <c r="HG58" s="4"/>
      <c r="HH58" s="4"/>
      <c r="HI58" s="4"/>
      <c r="HJ58" s="4"/>
      <c r="HK58" s="4"/>
      <c r="HL58" s="4"/>
      <c r="HM58" s="4"/>
      <c r="HN58" s="4"/>
      <c r="HO58" s="4"/>
      <c r="HP58" s="4"/>
      <c r="HQ58" s="4"/>
      <c r="HR58" s="4"/>
      <c r="HS58" s="4"/>
      <c r="HT58" s="4"/>
      <c r="HU58" s="4"/>
      <c r="HV58" s="4"/>
      <c r="HW58" s="4"/>
      <c r="HX58" s="4"/>
      <c r="HY58" s="4"/>
      <c r="HZ58" s="4"/>
      <c r="IA58" s="4"/>
      <c r="IB58" s="4"/>
      <c r="IC58" s="4"/>
      <c r="ID58" s="4"/>
      <c r="IE58" s="4"/>
      <c r="IF58" s="4"/>
      <c r="IG58" s="4"/>
      <c r="IH58" s="4"/>
      <c r="II58" s="4"/>
      <c r="IJ58" s="4"/>
      <c r="IK58" s="4"/>
      <c r="IL58" s="4"/>
      <c r="IM58" s="4"/>
      <c r="IN58" s="4"/>
      <c r="IO58" s="4"/>
      <c r="IP58" s="4"/>
      <c r="IQ58" s="4"/>
      <c r="IR58" s="4"/>
      <c r="IS58" s="4"/>
      <c r="IT58" s="4"/>
      <c r="IU58" s="4"/>
      <c r="IV58" s="4"/>
      <c r="IW58" s="4"/>
      <c r="IX58" s="4"/>
      <c r="IY58" s="4"/>
      <c r="IZ58" s="4"/>
      <c r="JA58" s="4"/>
      <c r="JB58" s="4"/>
      <c r="JC58" s="4"/>
      <c r="JD58" s="4"/>
      <c r="JE58" s="4"/>
      <c r="JF58" s="4"/>
      <c r="JG58" s="4"/>
      <c r="JH58" s="4"/>
      <c r="JI58" s="4"/>
      <c r="JJ58" s="4"/>
      <c r="JK58" s="4"/>
      <c r="JL58" s="4"/>
      <c r="JM58" s="4"/>
      <c r="JN58" s="4"/>
      <c r="JO58" s="4"/>
      <c r="JP58" s="4"/>
      <c r="JQ58" s="4"/>
      <c r="JR58" s="4"/>
      <c r="JS58" s="4"/>
      <c r="JT58" s="4"/>
      <c r="JU58" s="4"/>
      <c r="JV58" s="4"/>
      <c r="JW58" s="4"/>
      <c r="JX58" s="4"/>
      <c r="JY58" s="4"/>
      <c r="JZ58" s="4"/>
      <c r="KA58" s="4"/>
      <c r="KB58" s="4"/>
      <c r="KC58" s="4"/>
      <c r="KD58" s="4"/>
      <c r="KE58" s="4"/>
      <c r="KF58" s="4"/>
      <c r="KG58" s="4"/>
      <c r="KH58" s="4"/>
      <c r="KI58" s="4"/>
      <c r="KJ58" s="4"/>
      <c r="KK58" s="4"/>
      <c r="KL58" s="4"/>
      <c r="KM58" s="4"/>
      <c r="KN58" s="4"/>
      <c r="KO58" s="4"/>
      <c r="KP58" s="4"/>
      <c r="KQ58" s="4"/>
      <c r="KR58" s="4"/>
      <c r="KS58" s="4"/>
      <c r="KT58" s="4"/>
      <c r="KU58" s="4"/>
      <c r="KV58" s="4"/>
      <c r="KW58" s="4"/>
      <c r="KX58" s="4"/>
      <c r="KY58" s="4"/>
      <c r="KZ58" s="4"/>
      <c r="LA58" s="4"/>
      <c r="LB58" s="4"/>
      <c r="LC58" s="4"/>
      <c r="LD58" s="4"/>
    </row>
    <row r="59" spans="1:316" x14ac:dyDescent="0.3">
      <c r="A59" s="32" t="s">
        <v>176</v>
      </c>
      <c r="B59" s="67">
        <v>1</v>
      </c>
      <c r="C59" s="68">
        <v>25</v>
      </c>
      <c r="D59" s="31">
        <f t="shared" si="6"/>
        <v>25</v>
      </c>
      <c r="E59" s="31">
        <f>D59</f>
        <v>25</v>
      </c>
      <c r="F59" s="67" t="s">
        <v>168</v>
      </c>
      <c r="G59" s="66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  <c r="EF59" s="4"/>
      <c r="EG59" s="4"/>
      <c r="EH59" s="4"/>
      <c r="EI59" s="4"/>
      <c r="EJ59" s="4"/>
      <c r="EK59" s="4"/>
      <c r="EL59" s="4"/>
      <c r="EM59" s="4"/>
      <c r="EN59" s="4"/>
      <c r="EO59" s="4"/>
      <c r="EP59" s="4"/>
      <c r="EQ59" s="4"/>
      <c r="ER59" s="4"/>
      <c r="ES59" s="4"/>
      <c r="ET59" s="4"/>
      <c r="EU59" s="4"/>
      <c r="EV59" s="4"/>
      <c r="EW59" s="4"/>
      <c r="EX59" s="4"/>
      <c r="EY59" s="4"/>
      <c r="EZ59" s="4"/>
      <c r="FA59" s="4"/>
      <c r="FB59" s="4"/>
      <c r="FC59" s="4"/>
      <c r="FD59" s="4"/>
      <c r="FE59" s="4"/>
      <c r="FF59" s="4"/>
      <c r="FG59" s="4"/>
      <c r="FH59" s="4"/>
      <c r="FI59" s="4"/>
      <c r="FJ59" s="4"/>
      <c r="FK59" s="4"/>
      <c r="FL59" s="4"/>
      <c r="FM59" s="4"/>
      <c r="FN59" s="4"/>
      <c r="FO59" s="4"/>
      <c r="FP59" s="4"/>
      <c r="FQ59" s="4"/>
      <c r="FR59" s="4"/>
      <c r="FS59" s="4"/>
      <c r="FT59" s="4"/>
      <c r="FU59" s="4"/>
      <c r="FV59" s="4"/>
      <c r="FW59" s="4"/>
      <c r="FX59" s="4"/>
      <c r="FY59" s="4"/>
      <c r="FZ59" s="4"/>
      <c r="GA59" s="4"/>
      <c r="GB59" s="4"/>
      <c r="GC59" s="4"/>
      <c r="GD59" s="4"/>
      <c r="GE59" s="4"/>
      <c r="GF59" s="4"/>
      <c r="GG59" s="4"/>
      <c r="GH59" s="4"/>
      <c r="GI59" s="4"/>
      <c r="GJ59" s="4"/>
      <c r="GK59" s="4"/>
      <c r="GL59" s="4"/>
      <c r="GM59" s="4"/>
      <c r="GN59" s="4"/>
      <c r="GO59" s="4"/>
      <c r="GP59" s="4"/>
      <c r="GQ59" s="4"/>
      <c r="GR59" s="4"/>
      <c r="GS59" s="4"/>
      <c r="GT59" s="4"/>
      <c r="GU59" s="4"/>
      <c r="GV59" s="4"/>
      <c r="GW59" s="4"/>
      <c r="GX59" s="4"/>
      <c r="GY59" s="4"/>
      <c r="GZ59" s="4"/>
      <c r="HA59" s="4"/>
      <c r="HB59" s="4"/>
      <c r="HC59" s="4"/>
      <c r="HD59" s="4"/>
      <c r="HE59" s="4"/>
      <c r="HF59" s="4"/>
      <c r="HG59" s="4"/>
      <c r="HH59" s="4"/>
      <c r="HI59" s="4"/>
      <c r="HJ59" s="4"/>
      <c r="HK59" s="4"/>
      <c r="HL59" s="4"/>
      <c r="HM59" s="4"/>
      <c r="HN59" s="4"/>
      <c r="HO59" s="4"/>
      <c r="HP59" s="4"/>
      <c r="HQ59" s="4"/>
      <c r="HR59" s="4"/>
      <c r="HS59" s="4"/>
      <c r="HT59" s="4"/>
      <c r="HU59" s="4"/>
      <c r="HV59" s="4"/>
      <c r="HW59" s="4"/>
      <c r="HX59" s="4"/>
      <c r="HY59" s="4"/>
      <c r="HZ59" s="4"/>
      <c r="IA59" s="4"/>
      <c r="IB59" s="4"/>
      <c r="IC59" s="4"/>
      <c r="ID59" s="4"/>
      <c r="IE59" s="4"/>
      <c r="IF59" s="4"/>
      <c r="IG59" s="4"/>
      <c r="IH59" s="4"/>
      <c r="II59" s="4"/>
      <c r="IJ59" s="4"/>
      <c r="IK59" s="4"/>
      <c r="IL59" s="4"/>
      <c r="IM59" s="4"/>
      <c r="IN59" s="4"/>
      <c r="IO59" s="4"/>
      <c r="IP59" s="4"/>
      <c r="IQ59" s="4"/>
      <c r="IR59" s="4"/>
      <c r="IS59" s="4"/>
      <c r="IT59" s="4"/>
      <c r="IU59" s="4"/>
      <c r="IV59" s="4"/>
      <c r="IW59" s="4"/>
      <c r="IX59" s="4"/>
      <c r="IY59" s="4"/>
      <c r="IZ59" s="4"/>
      <c r="JA59" s="4"/>
      <c r="JB59" s="4"/>
      <c r="JC59" s="4"/>
      <c r="JD59" s="4"/>
      <c r="JE59" s="4"/>
      <c r="JF59" s="4"/>
      <c r="JG59" s="4"/>
      <c r="JH59" s="4"/>
      <c r="JI59" s="4"/>
      <c r="JJ59" s="4"/>
      <c r="JK59" s="4"/>
      <c r="JL59" s="4"/>
      <c r="JM59" s="4"/>
      <c r="JN59" s="4"/>
      <c r="JO59" s="4"/>
      <c r="JP59" s="4"/>
      <c r="JQ59" s="4"/>
      <c r="JR59" s="4"/>
      <c r="JS59" s="4"/>
      <c r="JT59" s="4"/>
      <c r="JU59" s="4"/>
      <c r="JV59" s="4"/>
      <c r="JW59" s="4"/>
      <c r="JX59" s="4"/>
      <c r="JY59" s="4"/>
      <c r="JZ59" s="4"/>
      <c r="KA59" s="4"/>
      <c r="KB59" s="4"/>
      <c r="KC59" s="4"/>
      <c r="KD59" s="4"/>
      <c r="KE59" s="4"/>
      <c r="KF59" s="4"/>
      <c r="KG59" s="4"/>
      <c r="KH59" s="4"/>
      <c r="KI59" s="4"/>
      <c r="KJ59" s="4"/>
      <c r="KK59" s="4"/>
      <c r="KL59" s="4"/>
      <c r="KM59" s="4"/>
      <c r="KN59" s="4"/>
      <c r="KO59" s="4"/>
      <c r="KP59" s="4"/>
      <c r="KQ59" s="4"/>
      <c r="KR59" s="4"/>
      <c r="KS59" s="4"/>
      <c r="KT59" s="4"/>
      <c r="KU59" s="4"/>
      <c r="KV59" s="4"/>
      <c r="KW59" s="4"/>
      <c r="KX59" s="4"/>
      <c r="KY59" s="4"/>
      <c r="KZ59" s="4"/>
      <c r="LA59" s="4"/>
      <c r="LB59" s="4"/>
      <c r="LC59" s="4"/>
      <c r="LD59" s="4"/>
    </row>
    <row r="60" spans="1:316" s="15" customFormat="1" ht="15" thickBot="1" x14ac:dyDescent="0.35">
      <c r="A60" s="29" t="s">
        <v>177</v>
      </c>
      <c r="B60" s="64">
        <v>14</v>
      </c>
      <c r="C60" s="65">
        <v>120</v>
      </c>
      <c r="D60" s="28">
        <f t="shared" si="6"/>
        <v>1680</v>
      </c>
      <c r="E60" s="28">
        <f>D60</f>
        <v>1680</v>
      </c>
      <c r="F60" s="64" t="s">
        <v>168</v>
      </c>
      <c r="G60" s="40"/>
      <c r="H60"/>
      <c r="I60"/>
      <c r="J60"/>
      <c r="K60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  <c r="EF60" s="4"/>
      <c r="EG60" s="4"/>
      <c r="EH60" s="4"/>
      <c r="EI60" s="4"/>
      <c r="EJ60" s="4"/>
      <c r="EK60" s="4"/>
      <c r="EL60" s="4"/>
      <c r="EM60" s="4"/>
      <c r="EN60" s="4"/>
      <c r="EO60" s="4"/>
      <c r="EP60" s="4"/>
      <c r="EQ60" s="4"/>
      <c r="ER60" s="4"/>
      <c r="ES60" s="4"/>
      <c r="ET60" s="4"/>
      <c r="EU60" s="4"/>
      <c r="EV60" s="4"/>
      <c r="EW60" s="4"/>
      <c r="EX60" s="4"/>
      <c r="EY60" s="4"/>
      <c r="EZ60" s="4"/>
      <c r="FA60" s="4"/>
      <c r="FB60" s="4"/>
      <c r="FC60" s="4"/>
      <c r="FD60" s="4"/>
      <c r="FE60" s="4"/>
      <c r="FF60" s="4"/>
      <c r="FG60" s="4"/>
      <c r="FH60" s="4"/>
      <c r="FI60" s="4"/>
      <c r="FJ60" s="4"/>
      <c r="FK60" s="4"/>
      <c r="FL60" s="4"/>
      <c r="FM60" s="4"/>
      <c r="FN60" s="4"/>
      <c r="FO60" s="4"/>
      <c r="FP60" s="4"/>
      <c r="FQ60" s="4"/>
      <c r="FR60" s="4"/>
      <c r="FS60" s="4"/>
      <c r="FT60" s="4"/>
      <c r="FU60" s="4"/>
      <c r="FV60" s="4"/>
      <c r="FW60" s="4"/>
      <c r="FX60" s="4"/>
      <c r="FY60" s="4"/>
      <c r="FZ60" s="4"/>
      <c r="GA60" s="4"/>
      <c r="GB60" s="4"/>
      <c r="GC60" s="4"/>
      <c r="GD60" s="4"/>
      <c r="GE60" s="4"/>
      <c r="GF60" s="4"/>
      <c r="GG60" s="4"/>
      <c r="GH60" s="4"/>
      <c r="GI60" s="4"/>
      <c r="GJ60" s="4"/>
      <c r="GK60" s="4"/>
      <c r="GL60" s="4"/>
      <c r="GM60" s="4"/>
      <c r="GN60" s="4"/>
      <c r="GO60" s="4"/>
      <c r="GP60" s="4"/>
      <c r="GQ60" s="4"/>
      <c r="GR60" s="4"/>
      <c r="GS60" s="4"/>
      <c r="GT60" s="4"/>
      <c r="GU60" s="4"/>
      <c r="GV60" s="4"/>
      <c r="GW60" s="4"/>
      <c r="GX60" s="4"/>
      <c r="GY60" s="4"/>
      <c r="GZ60" s="4"/>
      <c r="HA60" s="4"/>
      <c r="HB60" s="4"/>
      <c r="HC60" s="4"/>
      <c r="HD60" s="4"/>
      <c r="HE60" s="4"/>
      <c r="HF60" s="4"/>
      <c r="HG60" s="4"/>
      <c r="HH60" s="4"/>
      <c r="HI60" s="4"/>
      <c r="HJ60" s="4"/>
      <c r="HK60" s="4"/>
      <c r="HL60" s="4"/>
      <c r="HM60" s="4"/>
      <c r="HN60" s="4"/>
      <c r="HO60" s="4"/>
      <c r="HP60" s="4"/>
      <c r="HQ60" s="4"/>
      <c r="HR60" s="4"/>
      <c r="HS60" s="4"/>
      <c r="HT60" s="4"/>
      <c r="HU60" s="4"/>
      <c r="HV60" s="4"/>
      <c r="HW60" s="4"/>
      <c r="HX60" s="4"/>
      <c r="HY60" s="4"/>
      <c r="HZ60" s="4"/>
      <c r="IA60" s="4"/>
      <c r="IB60" s="4"/>
      <c r="IC60" s="4"/>
      <c r="ID60" s="4"/>
      <c r="IE60" s="4"/>
      <c r="IF60" s="4"/>
      <c r="IG60" s="4"/>
      <c r="IH60" s="4"/>
      <c r="II60" s="4"/>
      <c r="IJ60" s="4"/>
      <c r="IK60" s="4"/>
      <c r="IL60" s="4"/>
      <c r="IM60" s="4"/>
      <c r="IN60" s="4"/>
      <c r="IO60" s="4"/>
      <c r="IP60" s="4"/>
      <c r="IQ60" s="4"/>
      <c r="IR60" s="4"/>
      <c r="IS60" s="4"/>
      <c r="IT60" s="4"/>
      <c r="IU60" s="4"/>
      <c r="IV60" s="4"/>
      <c r="IW60" s="4"/>
      <c r="IX60" s="4"/>
      <c r="IY60" s="4"/>
      <c r="IZ60" s="4"/>
      <c r="JA60" s="4"/>
      <c r="JB60" s="4"/>
      <c r="JC60" s="4"/>
      <c r="JD60" s="4"/>
      <c r="JE60" s="4"/>
      <c r="JF60" s="4"/>
      <c r="JG60" s="4"/>
      <c r="JH60" s="4"/>
      <c r="JI60" s="4"/>
      <c r="JJ60" s="4"/>
      <c r="JK60" s="4"/>
      <c r="JL60" s="4"/>
      <c r="JM60" s="4"/>
      <c r="JN60" s="4"/>
      <c r="JO60" s="4"/>
      <c r="JP60" s="4"/>
      <c r="JQ60" s="4"/>
      <c r="JR60" s="4"/>
      <c r="JS60" s="4"/>
      <c r="JT60" s="4"/>
      <c r="JU60" s="4"/>
      <c r="JV60" s="4"/>
      <c r="JW60" s="4"/>
      <c r="JX60" s="4"/>
      <c r="JY60" s="4"/>
      <c r="JZ60" s="4"/>
      <c r="KA60" s="4"/>
      <c r="KB60" s="4"/>
      <c r="KC60" s="4"/>
      <c r="KD60" s="4"/>
      <c r="KE60" s="4"/>
      <c r="KF60" s="4"/>
      <c r="KG60" s="4"/>
      <c r="KH60" s="4"/>
      <c r="KI60" s="4"/>
      <c r="KJ60" s="4"/>
      <c r="KK60" s="4"/>
      <c r="KL60" s="4"/>
      <c r="KM60" s="4"/>
      <c r="KN60" s="4"/>
      <c r="KO60" s="4"/>
      <c r="KP60" s="4"/>
      <c r="KQ60" s="4"/>
      <c r="KR60" s="4"/>
      <c r="KS60" s="4"/>
      <c r="KT60" s="4"/>
      <c r="KU60" s="4"/>
      <c r="KV60" s="4"/>
      <c r="KW60" s="4"/>
      <c r="KX60" s="4"/>
      <c r="KY60" s="4"/>
      <c r="KZ60" s="4"/>
      <c r="LA60" s="4"/>
      <c r="LB60" s="4"/>
      <c r="LC60" s="4"/>
      <c r="LD60" s="4"/>
    </row>
    <row r="61" spans="1:316" ht="15" thickBot="1" x14ac:dyDescent="0.35">
      <c r="A61" s="63" t="s">
        <v>4</v>
      </c>
      <c r="B61" s="61"/>
      <c r="C61" s="61"/>
      <c r="D61" s="62">
        <f>SUM(D54:D60)</f>
        <v>22704</v>
      </c>
      <c r="E61" s="62">
        <f>SUM(E53:E60)</f>
        <v>16529</v>
      </c>
      <c r="F61" s="61"/>
      <c r="G61" s="60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  <c r="EF61" s="4"/>
      <c r="EG61" s="4"/>
      <c r="EH61" s="4"/>
      <c r="EI61" s="4"/>
      <c r="EJ61" s="4"/>
      <c r="EK61" s="4"/>
      <c r="EL61" s="4"/>
      <c r="EM61" s="4"/>
      <c r="EN61" s="4"/>
      <c r="EO61" s="4"/>
      <c r="EP61" s="4"/>
      <c r="EQ61" s="4"/>
      <c r="ER61" s="4"/>
      <c r="ES61" s="4"/>
      <c r="ET61" s="4"/>
      <c r="EU61" s="4"/>
      <c r="EV61" s="4"/>
      <c r="EW61" s="4"/>
      <c r="EX61" s="4"/>
      <c r="EY61" s="4"/>
      <c r="EZ61" s="4"/>
      <c r="FA61" s="4"/>
      <c r="FB61" s="4"/>
      <c r="FC61" s="4"/>
      <c r="FD61" s="4"/>
      <c r="FE61" s="4"/>
      <c r="FF61" s="4"/>
      <c r="FG61" s="4"/>
      <c r="FH61" s="4"/>
      <c r="FI61" s="4"/>
      <c r="FJ61" s="4"/>
      <c r="FK61" s="4"/>
      <c r="FL61" s="4"/>
      <c r="FM61" s="4"/>
      <c r="FN61" s="4"/>
      <c r="FO61" s="4"/>
      <c r="FP61" s="4"/>
      <c r="FQ61" s="4"/>
      <c r="FR61" s="4"/>
      <c r="FS61" s="4"/>
      <c r="FT61" s="4"/>
      <c r="FU61" s="4"/>
      <c r="FV61" s="4"/>
      <c r="FW61" s="4"/>
      <c r="FX61" s="4"/>
      <c r="FY61" s="4"/>
      <c r="FZ61" s="4"/>
      <c r="GA61" s="4"/>
      <c r="GB61" s="4"/>
      <c r="GC61" s="4"/>
      <c r="GD61" s="4"/>
      <c r="GE61" s="4"/>
      <c r="GF61" s="4"/>
      <c r="GG61" s="4"/>
      <c r="GH61" s="4"/>
      <c r="GI61" s="4"/>
      <c r="GJ61" s="4"/>
      <c r="GK61" s="4"/>
      <c r="GL61" s="4"/>
      <c r="GM61" s="4"/>
      <c r="GN61" s="4"/>
      <c r="GO61" s="4"/>
      <c r="GP61" s="4"/>
      <c r="GQ61" s="4"/>
      <c r="GR61" s="4"/>
      <c r="GS61" s="4"/>
      <c r="GT61" s="4"/>
      <c r="GU61" s="4"/>
      <c r="GV61" s="4"/>
      <c r="GW61" s="4"/>
      <c r="GX61" s="4"/>
      <c r="GY61" s="4"/>
      <c r="GZ61" s="4"/>
      <c r="HA61" s="4"/>
      <c r="HB61" s="4"/>
      <c r="HC61" s="4"/>
      <c r="HD61" s="4"/>
      <c r="HE61" s="4"/>
      <c r="HF61" s="4"/>
      <c r="HG61" s="4"/>
      <c r="HH61" s="4"/>
      <c r="HI61" s="4"/>
      <c r="HJ61" s="4"/>
      <c r="HK61" s="4"/>
      <c r="HL61" s="4"/>
      <c r="HM61" s="4"/>
      <c r="HN61" s="4"/>
      <c r="HO61" s="4"/>
      <c r="HP61" s="4"/>
      <c r="HQ61" s="4"/>
      <c r="HR61" s="4"/>
      <c r="HS61" s="4"/>
      <c r="HT61" s="4"/>
      <c r="HU61" s="4"/>
      <c r="HV61" s="4"/>
      <c r="HW61" s="4"/>
      <c r="HX61" s="4"/>
      <c r="HY61" s="4"/>
      <c r="HZ61" s="4"/>
      <c r="IA61" s="4"/>
      <c r="IB61" s="4"/>
      <c r="IC61" s="4"/>
      <c r="ID61" s="4"/>
      <c r="IE61" s="4"/>
      <c r="IF61" s="4"/>
      <c r="IG61" s="4"/>
      <c r="IH61" s="4"/>
      <c r="II61" s="4"/>
      <c r="IJ61" s="4"/>
      <c r="IK61" s="4"/>
      <c r="IL61" s="4"/>
      <c r="IM61" s="4"/>
      <c r="IN61" s="4"/>
      <c r="IO61" s="4"/>
      <c r="IP61" s="4"/>
      <c r="IQ61" s="4"/>
      <c r="IR61" s="4"/>
      <c r="IS61" s="4"/>
      <c r="IT61" s="4"/>
      <c r="IU61" s="4"/>
      <c r="IV61" s="4"/>
      <c r="IW61" s="4"/>
      <c r="IX61" s="4"/>
      <c r="IY61" s="4"/>
      <c r="IZ61" s="4"/>
      <c r="JA61" s="4"/>
      <c r="JB61" s="4"/>
      <c r="JC61" s="4"/>
      <c r="JD61" s="4"/>
      <c r="JE61" s="4"/>
      <c r="JF61" s="4"/>
      <c r="JG61" s="4"/>
      <c r="JH61" s="4"/>
      <c r="JI61" s="4"/>
      <c r="JJ61" s="4"/>
      <c r="JK61" s="4"/>
      <c r="JL61" s="4"/>
      <c r="JM61" s="4"/>
      <c r="JN61" s="4"/>
      <c r="JO61" s="4"/>
      <c r="JP61" s="4"/>
      <c r="JQ61" s="4"/>
      <c r="JR61" s="4"/>
      <c r="JS61" s="4"/>
      <c r="JT61" s="4"/>
      <c r="JU61" s="4"/>
      <c r="JV61" s="4"/>
      <c r="JW61" s="4"/>
      <c r="JX61" s="4"/>
      <c r="JY61" s="4"/>
      <c r="JZ61" s="4"/>
      <c r="KA61" s="4"/>
      <c r="KB61" s="4"/>
      <c r="KC61" s="4"/>
      <c r="KD61" s="4"/>
      <c r="KE61" s="4"/>
      <c r="KF61" s="4"/>
      <c r="KG61" s="4"/>
      <c r="KH61" s="4"/>
      <c r="KI61" s="4"/>
      <c r="KJ61" s="4"/>
      <c r="KK61" s="4"/>
      <c r="KL61" s="4"/>
      <c r="KM61" s="4"/>
      <c r="KN61" s="4"/>
      <c r="KO61" s="4"/>
      <c r="KP61" s="4"/>
      <c r="KQ61" s="4"/>
      <c r="KR61" s="4"/>
      <c r="KS61" s="4"/>
      <c r="KT61" s="4"/>
      <c r="KU61" s="4"/>
      <c r="KV61" s="4"/>
      <c r="KW61" s="4"/>
      <c r="KX61" s="4"/>
      <c r="KY61" s="4"/>
      <c r="KZ61" s="4"/>
      <c r="LA61" s="4"/>
      <c r="LB61" s="4"/>
      <c r="LC61" s="4"/>
      <c r="LD61" s="4"/>
    </row>
    <row r="62" spans="1:316" ht="15" thickBot="1" x14ac:dyDescent="0.35">
      <c r="A62" s="3"/>
      <c r="B62" s="4"/>
      <c r="C62" s="4"/>
      <c r="D62" s="4"/>
      <c r="E62" s="4"/>
      <c r="F62" s="4"/>
      <c r="G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  <c r="EP62" s="4"/>
      <c r="EQ62" s="4"/>
      <c r="ER62" s="4"/>
      <c r="ES62" s="4"/>
      <c r="ET62" s="4"/>
      <c r="EU62" s="4"/>
      <c r="EV62" s="4"/>
      <c r="EW62" s="4"/>
      <c r="EX62" s="4"/>
      <c r="EY62" s="4"/>
      <c r="EZ62" s="4"/>
      <c r="FA62" s="4"/>
      <c r="FB62" s="4"/>
      <c r="FC62" s="4"/>
      <c r="FD62" s="4"/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  <c r="FS62" s="4"/>
      <c r="FT62" s="4"/>
      <c r="FU62" s="4"/>
      <c r="FV62" s="4"/>
      <c r="FW62" s="4"/>
      <c r="FX62" s="4"/>
      <c r="FY62" s="4"/>
      <c r="FZ62" s="4"/>
      <c r="GA62" s="4"/>
      <c r="GB62" s="4"/>
      <c r="GC62" s="4"/>
      <c r="GD62" s="4"/>
      <c r="GE62" s="4"/>
      <c r="GF62" s="4"/>
      <c r="GG62" s="4"/>
      <c r="GH62" s="4"/>
      <c r="GI62" s="4"/>
      <c r="GJ62" s="4"/>
      <c r="GK62" s="4"/>
      <c r="GL62" s="4"/>
      <c r="GM62" s="4"/>
      <c r="GN62" s="4"/>
      <c r="GO62" s="4"/>
      <c r="GP62" s="4"/>
      <c r="GQ62" s="4"/>
      <c r="GR62" s="4"/>
      <c r="GS62" s="4"/>
      <c r="GT62" s="4"/>
      <c r="GU62" s="4"/>
      <c r="GV62" s="4"/>
      <c r="GW62" s="4"/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  <c r="HK62" s="4"/>
      <c r="HL62" s="4"/>
      <c r="HM62" s="4"/>
      <c r="HN62" s="4"/>
      <c r="HO62" s="4"/>
      <c r="HP62" s="4"/>
      <c r="HQ62" s="4"/>
      <c r="HR62" s="4"/>
      <c r="HS62" s="4"/>
      <c r="HT62" s="4"/>
      <c r="HU62" s="4"/>
      <c r="HV62" s="4"/>
      <c r="HW62" s="4"/>
      <c r="HX62" s="4"/>
      <c r="HY62" s="4"/>
      <c r="HZ62" s="4"/>
      <c r="IA62" s="4"/>
      <c r="IB62" s="4"/>
      <c r="IC62" s="4"/>
      <c r="ID62" s="4"/>
      <c r="IE62" s="4"/>
      <c r="IF62" s="4"/>
      <c r="IG62" s="4"/>
      <c r="IH62" s="4"/>
      <c r="II62" s="4"/>
      <c r="IJ62" s="4"/>
      <c r="IK62" s="4"/>
      <c r="IL62" s="4"/>
      <c r="IM62" s="4"/>
      <c r="IN62" s="4"/>
      <c r="IO62" s="4"/>
      <c r="IP62" s="4"/>
      <c r="IQ62" s="4"/>
      <c r="IR62" s="4"/>
      <c r="IS62" s="4"/>
      <c r="IT62" s="4"/>
      <c r="IU62" s="4"/>
      <c r="IV62" s="4"/>
      <c r="IW62" s="4"/>
      <c r="IX62" s="4"/>
      <c r="IY62" s="4"/>
      <c r="IZ62" s="4"/>
      <c r="JA62" s="4"/>
      <c r="JB62" s="4"/>
      <c r="JC62" s="4"/>
      <c r="JD62" s="4"/>
      <c r="JE62" s="4"/>
      <c r="JF62" s="4"/>
      <c r="JG62" s="4"/>
      <c r="JH62" s="4"/>
      <c r="JI62" s="4"/>
      <c r="JJ62" s="4"/>
      <c r="JK62" s="4"/>
      <c r="JL62" s="4"/>
      <c r="JM62" s="4"/>
      <c r="JN62" s="4"/>
      <c r="JO62" s="4"/>
      <c r="JP62" s="4"/>
      <c r="JQ62" s="4"/>
      <c r="JR62" s="4"/>
      <c r="JS62" s="4"/>
      <c r="JT62" s="4"/>
      <c r="JU62" s="4"/>
      <c r="JV62" s="4"/>
      <c r="JW62" s="4"/>
      <c r="JX62" s="4"/>
      <c r="JY62" s="4"/>
      <c r="JZ62" s="4"/>
      <c r="KA62" s="4"/>
      <c r="KB62" s="4"/>
      <c r="KC62" s="4"/>
      <c r="KD62" s="4"/>
      <c r="KE62" s="4"/>
      <c r="KF62" s="4"/>
      <c r="KG62" s="4"/>
      <c r="KH62" s="4"/>
      <c r="KI62" s="4"/>
      <c r="KJ62" s="4"/>
      <c r="KK62" s="4"/>
      <c r="KL62" s="4"/>
      <c r="KM62" s="4"/>
      <c r="KN62" s="4"/>
      <c r="KO62" s="4"/>
      <c r="KP62" s="4"/>
      <c r="KQ62" s="4"/>
      <c r="KR62" s="4"/>
      <c r="KS62" s="4"/>
      <c r="KT62" s="4"/>
      <c r="KU62" s="4"/>
      <c r="KV62" s="4"/>
      <c r="KW62" s="4"/>
      <c r="KX62" s="4"/>
      <c r="KY62" s="4"/>
      <c r="KZ62" s="4"/>
      <c r="LA62" s="4"/>
      <c r="LB62" s="4"/>
      <c r="LC62" s="4"/>
      <c r="LD62" s="4"/>
    </row>
    <row r="63" spans="1:316" ht="43.2" x14ac:dyDescent="0.3">
      <c r="A63" s="59" t="s">
        <v>117</v>
      </c>
      <c r="B63" s="58" t="s">
        <v>112</v>
      </c>
      <c r="C63" s="58" t="s">
        <v>178</v>
      </c>
      <c r="D63" s="58" t="s">
        <v>179</v>
      </c>
      <c r="E63" s="57" t="s">
        <v>180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  <c r="EN63" s="4"/>
      <c r="EO63" s="4"/>
      <c r="EP63" s="4"/>
      <c r="EQ63" s="4"/>
      <c r="ER63" s="4"/>
      <c r="ES63" s="4"/>
      <c r="ET63" s="4"/>
      <c r="EU63" s="4"/>
      <c r="EV63" s="4"/>
      <c r="EW63" s="4"/>
      <c r="EX63" s="4"/>
      <c r="EY63" s="4"/>
      <c r="EZ63" s="4"/>
      <c r="FA63" s="4"/>
      <c r="FB63" s="4"/>
      <c r="FC63" s="4"/>
      <c r="FD63" s="4"/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  <c r="FS63" s="4"/>
      <c r="FT63" s="4"/>
      <c r="FU63" s="4"/>
      <c r="FV63" s="4"/>
      <c r="FW63" s="4"/>
      <c r="FX63" s="4"/>
      <c r="FY63" s="4"/>
      <c r="FZ63" s="4"/>
      <c r="GA63" s="4"/>
      <c r="GB63" s="4"/>
      <c r="GC63" s="4"/>
      <c r="GD63" s="4"/>
      <c r="GE63" s="4"/>
      <c r="GF63" s="4"/>
      <c r="GG63" s="4"/>
      <c r="GH63" s="4"/>
      <c r="GI63" s="4"/>
      <c r="GJ63" s="4"/>
      <c r="GK63" s="4"/>
      <c r="GL63" s="4"/>
      <c r="GM63" s="4"/>
      <c r="GN63" s="4"/>
      <c r="GO63" s="4"/>
      <c r="GP63" s="4"/>
      <c r="GQ63" s="4"/>
      <c r="GR63" s="4"/>
      <c r="GS63" s="4"/>
      <c r="GT63" s="4"/>
      <c r="GU63" s="4"/>
      <c r="GV63" s="4"/>
      <c r="GW63" s="4"/>
      <c r="GX63" s="4"/>
      <c r="GY63" s="4"/>
      <c r="GZ63" s="4"/>
      <c r="HA63" s="4"/>
      <c r="HB63" s="4"/>
      <c r="HC63" s="4"/>
      <c r="HD63" s="4"/>
      <c r="HE63" s="4"/>
      <c r="HF63" s="4"/>
      <c r="HG63" s="4"/>
      <c r="HH63" s="4"/>
      <c r="HI63" s="4"/>
      <c r="HJ63" s="4"/>
      <c r="HK63" s="4"/>
      <c r="HL63" s="4"/>
      <c r="HM63" s="4"/>
      <c r="HN63" s="4"/>
      <c r="HO63" s="4"/>
      <c r="HP63" s="4"/>
      <c r="HQ63" s="4"/>
      <c r="HR63" s="4"/>
      <c r="HS63" s="4"/>
      <c r="HT63" s="4"/>
      <c r="HU63" s="4"/>
      <c r="HV63" s="4"/>
      <c r="HW63" s="4"/>
      <c r="HX63" s="4"/>
      <c r="HY63" s="4"/>
      <c r="HZ63" s="4"/>
      <c r="IA63" s="4"/>
      <c r="IB63" s="4"/>
      <c r="IC63" s="4"/>
      <c r="ID63" s="4"/>
      <c r="IE63" s="4"/>
      <c r="IF63" s="4"/>
      <c r="IG63" s="4"/>
      <c r="IH63" s="4"/>
      <c r="II63" s="4"/>
      <c r="IJ63" s="4"/>
      <c r="IK63" s="4"/>
      <c r="IL63" s="4"/>
      <c r="IM63" s="4"/>
      <c r="IN63" s="4"/>
      <c r="IO63" s="4"/>
      <c r="IP63" s="4"/>
      <c r="IQ63" s="4"/>
      <c r="IR63" s="4"/>
      <c r="IS63" s="4"/>
      <c r="IT63" s="4"/>
      <c r="IU63" s="4"/>
      <c r="IV63" s="4"/>
      <c r="IW63" s="4"/>
      <c r="IX63" s="4"/>
      <c r="IY63" s="4"/>
      <c r="IZ63" s="4"/>
      <c r="JA63" s="4"/>
      <c r="JB63" s="4"/>
      <c r="JC63" s="4"/>
      <c r="JD63" s="4"/>
      <c r="JE63" s="4"/>
      <c r="JF63" s="4"/>
      <c r="JG63" s="4"/>
      <c r="JH63" s="4"/>
      <c r="JI63" s="4"/>
      <c r="JJ63" s="4"/>
      <c r="JK63" s="4"/>
      <c r="JL63" s="4"/>
      <c r="JM63" s="4"/>
      <c r="JN63" s="4"/>
      <c r="JO63" s="4"/>
      <c r="JP63" s="4"/>
      <c r="JQ63" s="4"/>
      <c r="JR63" s="4"/>
      <c r="JS63" s="4"/>
      <c r="JT63" s="4"/>
      <c r="JU63" s="4"/>
      <c r="JV63" s="4"/>
      <c r="JW63" s="4"/>
      <c r="JX63" s="4"/>
      <c r="JY63" s="4"/>
      <c r="JZ63" s="4"/>
      <c r="KA63" s="4"/>
      <c r="KB63" s="4"/>
      <c r="KC63" s="4"/>
      <c r="KD63" s="4"/>
      <c r="KE63" s="4"/>
      <c r="KF63" s="4"/>
      <c r="KG63" s="4"/>
      <c r="KH63" s="4"/>
      <c r="KI63" s="4"/>
      <c r="KJ63" s="4"/>
      <c r="KK63" s="4"/>
      <c r="KL63" s="4"/>
      <c r="KM63" s="4"/>
      <c r="KN63" s="4"/>
      <c r="KO63" s="4"/>
      <c r="KP63" s="4"/>
      <c r="KQ63" s="4"/>
      <c r="KR63" s="4"/>
      <c r="KS63" s="4"/>
      <c r="KT63" s="4"/>
      <c r="KU63" s="4"/>
      <c r="KV63" s="4"/>
      <c r="KW63" s="4"/>
      <c r="KX63" s="4"/>
      <c r="KY63" s="4"/>
      <c r="KZ63" s="4"/>
      <c r="LA63" s="4"/>
      <c r="LB63" s="4"/>
      <c r="LC63" s="4"/>
      <c r="LD63" s="4"/>
    </row>
    <row r="64" spans="1:316" s="15" customFormat="1" x14ac:dyDescent="0.3">
      <c r="A64" s="29" t="s">
        <v>118</v>
      </c>
      <c r="B64" s="56">
        <f t="shared" ref="B64:B72" si="7">C15</f>
        <v>0</v>
      </c>
      <c r="C64" s="54"/>
      <c r="D64" s="54"/>
      <c r="E64" s="53">
        <f t="shared" ref="E64:E72" si="8">D64*B2</f>
        <v>0</v>
      </c>
      <c r="F64"/>
      <c r="G64"/>
      <c r="H64"/>
      <c r="I64"/>
      <c r="J64"/>
      <c r="K6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  <c r="EN64" s="4"/>
      <c r="EO64" s="4"/>
      <c r="EP64" s="4"/>
      <c r="EQ64" s="4"/>
      <c r="ER64" s="4"/>
      <c r="ES64" s="4"/>
      <c r="ET64" s="4"/>
      <c r="EU64" s="4"/>
      <c r="EV64" s="4"/>
      <c r="EW64" s="4"/>
      <c r="EX64" s="4"/>
      <c r="EY64" s="4"/>
      <c r="EZ64" s="4"/>
      <c r="FA64" s="4"/>
      <c r="FB64" s="4"/>
      <c r="FC64" s="4"/>
      <c r="FD64" s="4"/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  <c r="FS64" s="4"/>
      <c r="FT64" s="4"/>
      <c r="FU64" s="4"/>
      <c r="FV64" s="4"/>
      <c r="FW64" s="4"/>
      <c r="FX64" s="4"/>
      <c r="FY64" s="4"/>
      <c r="FZ64" s="4"/>
      <c r="GA64" s="4"/>
      <c r="GB64" s="4"/>
      <c r="GC64" s="4"/>
      <c r="GD64" s="4"/>
      <c r="GE64" s="4"/>
      <c r="GF64" s="4"/>
      <c r="GG64" s="4"/>
      <c r="GH64" s="4"/>
      <c r="GI64" s="4"/>
      <c r="GJ64" s="4"/>
      <c r="GK64" s="4"/>
      <c r="GL64" s="4"/>
      <c r="GM64" s="4"/>
      <c r="GN64" s="4"/>
      <c r="GO64" s="4"/>
      <c r="GP64" s="4"/>
      <c r="GQ64" s="4"/>
      <c r="GR64" s="4"/>
      <c r="GS64" s="4"/>
      <c r="GT64" s="4"/>
      <c r="GU64" s="4"/>
      <c r="GV64" s="4"/>
      <c r="GW64" s="4"/>
      <c r="GX64" s="4"/>
      <c r="GY64" s="4"/>
      <c r="GZ64" s="4"/>
      <c r="HA64" s="4"/>
      <c r="HB64" s="4"/>
      <c r="HC64" s="4"/>
      <c r="HD64" s="4"/>
      <c r="HE64" s="4"/>
      <c r="HF64" s="4"/>
      <c r="HG64" s="4"/>
      <c r="HH64" s="4"/>
      <c r="HI64" s="4"/>
      <c r="HJ64" s="4"/>
      <c r="HK64" s="4"/>
      <c r="HL64" s="4"/>
      <c r="HM64" s="4"/>
      <c r="HN64" s="4"/>
      <c r="HO64" s="4"/>
      <c r="HP64" s="4"/>
      <c r="HQ64" s="4"/>
      <c r="HR64" s="4"/>
      <c r="HS64" s="4"/>
      <c r="HT64" s="4"/>
      <c r="HU64" s="4"/>
      <c r="HV64" s="4"/>
      <c r="HW64" s="4"/>
      <c r="HX64" s="4"/>
      <c r="HY64" s="4"/>
      <c r="HZ64" s="4"/>
      <c r="IA64" s="4"/>
      <c r="IB64" s="4"/>
      <c r="IC64" s="4"/>
      <c r="ID64" s="4"/>
      <c r="IE64" s="4"/>
      <c r="IF64" s="4"/>
      <c r="IG64" s="4"/>
      <c r="IH64" s="4"/>
      <c r="II64" s="4"/>
      <c r="IJ64" s="4"/>
      <c r="IK64" s="4"/>
      <c r="IL64" s="4"/>
      <c r="IM64" s="4"/>
      <c r="IN64" s="4"/>
      <c r="IO64" s="4"/>
      <c r="IP64" s="4"/>
      <c r="IQ64" s="4"/>
      <c r="IR64" s="4"/>
      <c r="IS64" s="4"/>
      <c r="IT64" s="4"/>
      <c r="IU64" s="4"/>
      <c r="IV64" s="4"/>
      <c r="IW64" s="4"/>
      <c r="IX64" s="4"/>
      <c r="IY64" s="4"/>
      <c r="IZ64" s="4"/>
      <c r="JA64" s="4"/>
      <c r="JB64" s="4"/>
      <c r="JC64" s="4"/>
      <c r="JD64" s="4"/>
      <c r="JE64" s="4"/>
      <c r="JF64" s="4"/>
      <c r="JG64" s="4"/>
      <c r="JH64" s="4"/>
      <c r="JI64" s="4"/>
      <c r="JJ64" s="4"/>
      <c r="JK64" s="4"/>
      <c r="JL64" s="4"/>
      <c r="JM64" s="4"/>
      <c r="JN64" s="4"/>
      <c r="JO64" s="4"/>
      <c r="JP64" s="4"/>
      <c r="JQ64" s="4"/>
      <c r="JR64" s="4"/>
      <c r="JS64" s="4"/>
      <c r="JT64" s="4"/>
      <c r="JU64" s="4"/>
      <c r="JV64" s="4"/>
      <c r="JW64" s="4"/>
      <c r="JX64" s="4"/>
      <c r="JY64" s="4"/>
      <c r="JZ64" s="4"/>
      <c r="KA64" s="4"/>
      <c r="KB64" s="4"/>
      <c r="KC64" s="4"/>
      <c r="KD64" s="4"/>
      <c r="KE64" s="4"/>
      <c r="KF64" s="4"/>
      <c r="KG64" s="4"/>
      <c r="KH64" s="4"/>
      <c r="KI64" s="4"/>
      <c r="KJ64" s="4"/>
      <c r="KK64" s="4"/>
      <c r="KL64" s="4"/>
      <c r="KM64" s="4"/>
      <c r="KN64" s="4"/>
      <c r="KO64" s="4"/>
      <c r="KP64" s="4"/>
      <c r="KQ64" s="4"/>
      <c r="KR64" s="4"/>
      <c r="KS64" s="4"/>
      <c r="KT64" s="4"/>
      <c r="KU64" s="4"/>
      <c r="KV64" s="4"/>
      <c r="KW64" s="4"/>
      <c r="KX64" s="4"/>
      <c r="KY64" s="4"/>
      <c r="KZ64" s="4"/>
      <c r="LA64" s="4"/>
      <c r="LB64" s="4"/>
      <c r="LC64" s="4"/>
      <c r="LD64" s="4"/>
    </row>
    <row r="65" spans="1:316" x14ac:dyDescent="0.3">
      <c r="A65" s="32" t="s">
        <v>104</v>
      </c>
      <c r="B65" s="52">
        <f t="shared" si="7"/>
        <v>0.65</v>
      </c>
      <c r="C65" s="51">
        <v>2008</v>
      </c>
      <c r="D65" s="3">
        <f t="shared" ref="D65:D71" si="9">C65*B65</f>
        <v>1305.2</v>
      </c>
      <c r="E65" s="50">
        <f t="shared" si="8"/>
        <v>1305.2</v>
      </c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  <c r="EN65" s="4"/>
      <c r="EO65" s="4"/>
      <c r="EP65" s="4"/>
      <c r="EQ65" s="4"/>
      <c r="ER65" s="4"/>
      <c r="ES65" s="4"/>
      <c r="ET65" s="4"/>
      <c r="EU65" s="4"/>
      <c r="EV65" s="4"/>
      <c r="EW65" s="4"/>
      <c r="EX65" s="4"/>
      <c r="EY65" s="4"/>
      <c r="EZ65" s="4"/>
      <c r="FA65" s="4"/>
      <c r="FB65" s="4"/>
      <c r="FC65" s="4"/>
      <c r="FD65" s="4"/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  <c r="FS65" s="4"/>
      <c r="FT65" s="4"/>
      <c r="FU65" s="4"/>
      <c r="FV65" s="4"/>
      <c r="FW65" s="4"/>
      <c r="FX65" s="4"/>
      <c r="FY65" s="4"/>
      <c r="FZ65" s="4"/>
      <c r="GA65" s="4"/>
      <c r="GB65" s="4"/>
      <c r="GC65" s="4"/>
      <c r="GD65" s="4"/>
      <c r="GE65" s="4"/>
      <c r="GF65" s="4"/>
      <c r="GG65" s="4"/>
      <c r="GH65" s="4"/>
      <c r="GI65" s="4"/>
      <c r="GJ65" s="4"/>
      <c r="GK65" s="4"/>
      <c r="GL65" s="4"/>
      <c r="GM65" s="4"/>
      <c r="GN65" s="4"/>
      <c r="GO65" s="4"/>
      <c r="GP65" s="4"/>
      <c r="GQ65" s="4"/>
      <c r="GR65" s="4"/>
      <c r="GS65" s="4"/>
      <c r="GT65" s="4"/>
      <c r="GU65" s="4"/>
      <c r="GV65" s="4"/>
      <c r="GW65" s="4"/>
      <c r="GX65" s="4"/>
      <c r="GY65" s="4"/>
      <c r="GZ65" s="4"/>
      <c r="HA65" s="4"/>
      <c r="HB65" s="4"/>
      <c r="HC65" s="4"/>
      <c r="HD65" s="4"/>
      <c r="HE65" s="4"/>
      <c r="HF65" s="4"/>
      <c r="HG65" s="4"/>
      <c r="HH65" s="4"/>
      <c r="HI65" s="4"/>
      <c r="HJ65" s="4"/>
      <c r="HK65" s="4"/>
      <c r="HL65" s="4"/>
      <c r="HM65" s="4"/>
      <c r="HN65" s="4"/>
      <c r="HO65" s="4"/>
      <c r="HP65" s="4"/>
      <c r="HQ65" s="4"/>
      <c r="HR65" s="4"/>
      <c r="HS65" s="4"/>
      <c r="HT65" s="4"/>
      <c r="HU65" s="4"/>
      <c r="HV65" s="4"/>
      <c r="HW65" s="4"/>
      <c r="HX65" s="4"/>
      <c r="HY65" s="4"/>
      <c r="HZ65" s="4"/>
      <c r="IA65" s="4"/>
      <c r="IB65" s="4"/>
      <c r="IC65" s="4"/>
      <c r="ID65" s="4"/>
      <c r="IE65" s="4"/>
      <c r="IF65" s="4"/>
      <c r="IG65" s="4"/>
      <c r="IH65" s="4"/>
      <c r="II65" s="4"/>
      <c r="IJ65" s="4"/>
      <c r="IK65" s="4"/>
      <c r="IL65" s="4"/>
      <c r="IM65" s="4"/>
      <c r="IN65" s="4"/>
      <c r="IO65" s="4"/>
      <c r="IP65" s="4"/>
      <c r="IQ65" s="4"/>
      <c r="IR65" s="4"/>
      <c r="IS65" s="4"/>
      <c r="IT65" s="4"/>
      <c r="IU65" s="4"/>
      <c r="IV65" s="4"/>
      <c r="IW65" s="4"/>
      <c r="IX65" s="4"/>
      <c r="IY65" s="4"/>
      <c r="IZ65" s="4"/>
      <c r="JA65" s="4"/>
      <c r="JB65" s="4"/>
      <c r="JC65" s="4"/>
      <c r="JD65" s="4"/>
      <c r="JE65" s="4"/>
      <c r="JF65" s="4"/>
      <c r="JG65" s="4"/>
      <c r="JH65" s="4"/>
      <c r="JI65" s="4"/>
      <c r="JJ65" s="4"/>
      <c r="JK65" s="4"/>
      <c r="JL65" s="4"/>
      <c r="JM65" s="4"/>
      <c r="JN65" s="4"/>
      <c r="JO65" s="4"/>
      <c r="JP65" s="4"/>
      <c r="JQ65" s="4"/>
      <c r="JR65" s="4"/>
      <c r="JS65" s="4"/>
      <c r="JT65" s="4"/>
      <c r="JU65" s="4"/>
      <c r="JV65" s="4"/>
      <c r="JW65" s="4"/>
      <c r="JX65" s="4"/>
      <c r="JY65" s="4"/>
      <c r="JZ65" s="4"/>
      <c r="KA65" s="4"/>
      <c r="KB65" s="4"/>
      <c r="KC65" s="4"/>
      <c r="KD65" s="4"/>
      <c r="KE65" s="4"/>
      <c r="KF65" s="4"/>
      <c r="KG65" s="4"/>
      <c r="KH65" s="4"/>
      <c r="KI65" s="4"/>
      <c r="KJ65" s="4"/>
      <c r="KK65" s="4"/>
      <c r="KL65" s="4"/>
      <c r="KM65" s="4"/>
      <c r="KN65" s="4"/>
      <c r="KO65" s="4"/>
      <c r="KP65" s="4"/>
      <c r="KQ65" s="4"/>
      <c r="KR65" s="4"/>
      <c r="KS65" s="4"/>
      <c r="KT65" s="4"/>
      <c r="KU65" s="4"/>
      <c r="KV65" s="4"/>
      <c r="KW65" s="4"/>
      <c r="KX65" s="4"/>
      <c r="KY65" s="4"/>
      <c r="KZ65" s="4"/>
      <c r="LA65" s="4"/>
      <c r="LB65" s="4"/>
      <c r="LC65" s="4"/>
      <c r="LD65" s="4"/>
    </row>
    <row r="66" spans="1:316" s="15" customFormat="1" x14ac:dyDescent="0.3">
      <c r="A66" s="29" t="s">
        <v>119</v>
      </c>
      <c r="B66" s="56">
        <f t="shared" si="7"/>
        <v>0.5</v>
      </c>
      <c r="C66" s="55">
        <v>2008</v>
      </c>
      <c r="D66" s="54">
        <f t="shared" si="9"/>
        <v>1004</v>
      </c>
      <c r="E66" s="53">
        <f t="shared" si="8"/>
        <v>1004</v>
      </c>
      <c r="F66"/>
      <c r="G66"/>
      <c r="H66"/>
      <c r="I66"/>
      <c r="J66"/>
      <c r="K66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  <c r="EN66" s="4"/>
      <c r="EO66" s="4"/>
      <c r="EP66" s="4"/>
      <c r="EQ66" s="4"/>
      <c r="ER66" s="4"/>
      <c r="ES66" s="4"/>
      <c r="ET66" s="4"/>
      <c r="EU66" s="4"/>
      <c r="EV66" s="4"/>
      <c r="EW66" s="4"/>
      <c r="EX66" s="4"/>
      <c r="EY66" s="4"/>
      <c r="EZ66" s="4"/>
      <c r="FA66" s="4"/>
      <c r="FB66" s="4"/>
      <c r="FC66" s="4"/>
      <c r="FD66" s="4"/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  <c r="FS66" s="4"/>
      <c r="FT66" s="4"/>
      <c r="FU66" s="4"/>
      <c r="FV66" s="4"/>
      <c r="FW66" s="4"/>
      <c r="FX66" s="4"/>
      <c r="FY66" s="4"/>
      <c r="FZ66" s="4"/>
      <c r="GA66" s="4"/>
      <c r="GB66" s="4"/>
      <c r="GC66" s="4"/>
      <c r="GD66" s="4"/>
      <c r="GE66" s="4"/>
      <c r="GF66" s="4"/>
      <c r="GG66" s="4"/>
      <c r="GH66" s="4"/>
      <c r="GI66" s="4"/>
      <c r="GJ66" s="4"/>
      <c r="GK66" s="4"/>
      <c r="GL66" s="4"/>
      <c r="GM66" s="4"/>
      <c r="GN66" s="4"/>
      <c r="GO66" s="4"/>
      <c r="GP66" s="4"/>
      <c r="GQ66" s="4"/>
      <c r="GR66" s="4"/>
      <c r="GS66" s="4"/>
      <c r="GT66" s="4"/>
      <c r="GU66" s="4"/>
      <c r="GV66" s="4"/>
      <c r="GW66" s="4"/>
      <c r="GX66" s="4"/>
      <c r="GY66" s="4"/>
      <c r="GZ66" s="4"/>
      <c r="HA66" s="4"/>
      <c r="HB66" s="4"/>
      <c r="HC66" s="4"/>
      <c r="HD66" s="4"/>
      <c r="HE66" s="4"/>
      <c r="HF66" s="4"/>
      <c r="HG66" s="4"/>
      <c r="HH66" s="4"/>
      <c r="HI66" s="4"/>
      <c r="HJ66" s="4"/>
      <c r="HK66" s="4"/>
      <c r="HL66" s="4"/>
      <c r="HM66" s="4"/>
      <c r="HN66" s="4"/>
      <c r="HO66" s="4"/>
      <c r="HP66" s="4"/>
      <c r="HQ66" s="4"/>
      <c r="HR66" s="4"/>
      <c r="HS66" s="4"/>
      <c r="HT66" s="4"/>
      <c r="HU66" s="4"/>
      <c r="HV66" s="4"/>
      <c r="HW66" s="4"/>
      <c r="HX66" s="4"/>
      <c r="HY66" s="4"/>
      <c r="HZ66" s="4"/>
      <c r="IA66" s="4"/>
      <c r="IB66" s="4"/>
      <c r="IC66" s="4"/>
      <c r="ID66" s="4"/>
      <c r="IE66" s="4"/>
      <c r="IF66" s="4"/>
      <c r="IG66" s="4"/>
      <c r="IH66" s="4"/>
      <c r="II66" s="4"/>
      <c r="IJ66" s="4"/>
      <c r="IK66" s="4"/>
      <c r="IL66" s="4"/>
      <c r="IM66" s="4"/>
      <c r="IN66" s="4"/>
      <c r="IO66" s="4"/>
      <c r="IP66" s="4"/>
      <c r="IQ66" s="4"/>
      <c r="IR66" s="4"/>
      <c r="IS66" s="4"/>
      <c r="IT66" s="4"/>
      <c r="IU66" s="4"/>
      <c r="IV66" s="4"/>
      <c r="IW66" s="4"/>
      <c r="IX66" s="4"/>
      <c r="IY66" s="4"/>
      <c r="IZ66" s="4"/>
      <c r="JA66" s="4"/>
      <c r="JB66" s="4"/>
      <c r="JC66" s="4"/>
      <c r="JD66" s="4"/>
      <c r="JE66" s="4"/>
      <c r="JF66" s="4"/>
      <c r="JG66" s="4"/>
      <c r="JH66" s="4"/>
      <c r="JI66" s="4"/>
      <c r="JJ66" s="4"/>
      <c r="JK66" s="4"/>
      <c r="JL66" s="4"/>
      <c r="JM66" s="4"/>
      <c r="JN66" s="4"/>
      <c r="JO66" s="4"/>
      <c r="JP66" s="4"/>
      <c r="JQ66" s="4"/>
      <c r="JR66" s="4"/>
      <c r="JS66" s="4"/>
      <c r="JT66" s="4"/>
      <c r="JU66" s="4"/>
      <c r="JV66" s="4"/>
      <c r="JW66" s="4"/>
      <c r="JX66" s="4"/>
      <c r="JY66" s="4"/>
      <c r="JZ66" s="4"/>
      <c r="KA66" s="4"/>
      <c r="KB66" s="4"/>
      <c r="KC66" s="4"/>
      <c r="KD66" s="4"/>
      <c r="KE66" s="4"/>
      <c r="KF66" s="4"/>
      <c r="KG66" s="4"/>
      <c r="KH66" s="4"/>
      <c r="KI66" s="4"/>
      <c r="KJ66" s="4"/>
      <c r="KK66" s="4"/>
      <c r="KL66" s="4"/>
      <c r="KM66" s="4"/>
      <c r="KN66" s="4"/>
      <c r="KO66" s="4"/>
      <c r="KP66" s="4"/>
      <c r="KQ66" s="4"/>
      <c r="KR66" s="4"/>
      <c r="KS66" s="4"/>
      <c r="KT66" s="4"/>
      <c r="KU66" s="4"/>
      <c r="KV66" s="4"/>
      <c r="KW66" s="4"/>
      <c r="KX66" s="4"/>
      <c r="KY66" s="4"/>
      <c r="KZ66" s="4"/>
      <c r="LA66" s="4"/>
      <c r="LB66" s="4"/>
      <c r="LC66" s="4"/>
      <c r="LD66" s="4"/>
    </row>
    <row r="67" spans="1:316" x14ac:dyDescent="0.3">
      <c r="A67" s="32" t="s">
        <v>120</v>
      </c>
      <c r="B67" s="52">
        <f t="shared" si="7"/>
        <v>0.8</v>
      </c>
      <c r="C67" s="51">
        <v>2008</v>
      </c>
      <c r="D67" s="3">
        <f t="shared" si="9"/>
        <v>1606.4</v>
      </c>
      <c r="E67" s="50">
        <f t="shared" si="8"/>
        <v>1606.4</v>
      </c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  <c r="EN67" s="4"/>
      <c r="EO67" s="4"/>
      <c r="EP67" s="4"/>
      <c r="EQ67" s="4"/>
      <c r="ER67" s="4"/>
      <c r="ES67" s="4"/>
      <c r="ET67" s="4"/>
      <c r="EU67" s="4"/>
      <c r="EV67" s="4"/>
      <c r="EW67" s="4"/>
      <c r="EX67" s="4"/>
      <c r="EY67" s="4"/>
      <c r="EZ67" s="4"/>
      <c r="FA67" s="4"/>
      <c r="FB67" s="4"/>
      <c r="FC67" s="4"/>
      <c r="FD67" s="4"/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  <c r="FS67" s="4"/>
      <c r="FT67" s="4"/>
      <c r="FU67" s="4"/>
      <c r="FV67" s="4"/>
      <c r="FW67" s="4"/>
      <c r="FX67" s="4"/>
      <c r="FY67" s="4"/>
      <c r="FZ67" s="4"/>
      <c r="GA67" s="4"/>
      <c r="GB67" s="4"/>
      <c r="GC67" s="4"/>
      <c r="GD67" s="4"/>
      <c r="GE67" s="4"/>
      <c r="GF67" s="4"/>
      <c r="GG67" s="4"/>
      <c r="GH67" s="4"/>
      <c r="GI67" s="4"/>
      <c r="GJ67" s="4"/>
      <c r="GK67" s="4"/>
      <c r="GL67" s="4"/>
      <c r="GM67" s="4"/>
      <c r="GN67" s="4"/>
      <c r="GO67" s="4"/>
      <c r="GP67" s="4"/>
      <c r="GQ67" s="4"/>
      <c r="GR67" s="4"/>
      <c r="GS67" s="4"/>
      <c r="GT67" s="4"/>
      <c r="GU67" s="4"/>
      <c r="GV67" s="4"/>
      <c r="GW67" s="4"/>
      <c r="GX67" s="4"/>
      <c r="GY67" s="4"/>
      <c r="GZ67" s="4"/>
      <c r="HA67" s="4"/>
      <c r="HB67" s="4"/>
      <c r="HC67" s="4"/>
      <c r="HD67" s="4"/>
      <c r="HE67" s="4"/>
      <c r="HF67" s="4"/>
      <c r="HG67" s="4"/>
      <c r="HH67" s="4"/>
      <c r="HI67" s="4"/>
      <c r="HJ67" s="4"/>
      <c r="HK67" s="4"/>
      <c r="HL67" s="4"/>
      <c r="HM67" s="4"/>
      <c r="HN67" s="4"/>
      <c r="HO67" s="4"/>
      <c r="HP67" s="4"/>
      <c r="HQ67" s="4"/>
      <c r="HR67" s="4"/>
      <c r="HS67" s="4"/>
      <c r="HT67" s="4"/>
      <c r="HU67" s="4"/>
      <c r="HV67" s="4"/>
      <c r="HW67" s="4"/>
      <c r="HX67" s="4"/>
      <c r="HY67" s="4"/>
      <c r="HZ67" s="4"/>
      <c r="IA67" s="4"/>
      <c r="IB67" s="4"/>
      <c r="IC67" s="4"/>
      <c r="ID67" s="4"/>
      <c r="IE67" s="4"/>
      <c r="IF67" s="4"/>
      <c r="IG67" s="4"/>
      <c r="IH67" s="4"/>
      <c r="II67" s="4"/>
      <c r="IJ67" s="4"/>
      <c r="IK67" s="4"/>
      <c r="IL67" s="4"/>
      <c r="IM67" s="4"/>
      <c r="IN67" s="4"/>
      <c r="IO67" s="4"/>
      <c r="IP67" s="4"/>
      <c r="IQ67" s="4"/>
      <c r="IR67" s="4"/>
      <c r="IS67" s="4"/>
      <c r="IT67" s="4"/>
      <c r="IU67" s="4"/>
      <c r="IV67" s="4"/>
      <c r="IW67" s="4"/>
      <c r="IX67" s="4"/>
      <c r="IY67" s="4"/>
      <c r="IZ67" s="4"/>
      <c r="JA67" s="4"/>
      <c r="JB67" s="4"/>
      <c r="JC67" s="4"/>
      <c r="JD67" s="4"/>
      <c r="JE67" s="4"/>
      <c r="JF67" s="4"/>
      <c r="JG67" s="4"/>
      <c r="JH67" s="4"/>
      <c r="JI67" s="4"/>
      <c r="JJ67" s="4"/>
      <c r="JK67" s="4"/>
      <c r="JL67" s="4"/>
      <c r="JM67" s="4"/>
      <c r="JN67" s="4"/>
      <c r="JO67" s="4"/>
      <c r="JP67" s="4"/>
      <c r="JQ67" s="4"/>
      <c r="JR67" s="4"/>
      <c r="JS67" s="4"/>
      <c r="JT67" s="4"/>
      <c r="JU67" s="4"/>
      <c r="JV67" s="4"/>
      <c r="JW67" s="4"/>
      <c r="JX67" s="4"/>
      <c r="JY67" s="4"/>
      <c r="JZ67" s="4"/>
      <c r="KA67" s="4"/>
      <c r="KB67" s="4"/>
      <c r="KC67" s="4"/>
      <c r="KD67" s="4"/>
      <c r="KE67" s="4"/>
      <c r="KF67" s="4"/>
      <c r="KG67" s="4"/>
      <c r="KH67" s="4"/>
      <c r="KI67" s="4"/>
      <c r="KJ67" s="4"/>
      <c r="KK67" s="4"/>
      <c r="KL67" s="4"/>
      <c r="KM67" s="4"/>
      <c r="KN67" s="4"/>
      <c r="KO67" s="4"/>
      <c r="KP67" s="4"/>
      <c r="KQ67" s="4"/>
      <c r="KR67" s="4"/>
      <c r="KS67" s="4"/>
      <c r="KT67" s="4"/>
      <c r="KU67" s="4"/>
      <c r="KV67" s="4"/>
      <c r="KW67" s="4"/>
      <c r="KX67" s="4"/>
      <c r="KY67" s="4"/>
      <c r="KZ67" s="4"/>
      <c r="LA67" s="4"/>
      <c r="LB67" s="4"/>
      <c r="LC67" s="4"/>
      <c r="LD67" s="4"/>
    </row>
    <row r="68" spans="1:316" s="15" customFormat="1" x14ac:dyDescent="0.3">
      <c r="A68" s="29" t="s">
        <v>107</v>
      </c>
      <c r="B68" s="56">
        <f t="shared" si="7"/>
        <v>0.85</v>
      </c>
      <c r="C68" s="55">
        <v>2008</v>
      </c>
      <c r="D68" s="54">
        <f t="shared" si="9"/>
        <v>1706.8</v>
      </c>
      <c r="E68" s="53">
        <f t="shared" si="8"/>
        <v>1706.8</v>
      </c>
      <c r="F68"/>
      <c r="G68"/>
      <c r="H68"/>
      <c r="I68"/>
      <c r="J68"/>
      <c r="K68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  <c r="EP68" s="4"/>
      <c r="EQ68" s="4"/>
      <c r="ER68" s="4"/>
      <c r="ES68" s="4"/>
      <c r="ET68" s="4"/>
      <c r="EU68" s="4"/>
      <c r="EV68" s="4"/>
      <c r="EW68" s="4"/>
      <c r="EX68" s="4"/>
      <c r="EY68" s="4"/>
      <c r="EZ68" s="4"/>
      <c r="FA68" s="4"/>
      <c r="FB68" s="4"/>
      <c r="FC68" s="4"/>
      <c r="FD68" s="4"/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  <c r="FS68" s="4"/>
      <c r="FT68" s="4"/>
      <c r="FU68" s="4"/>
      <c r="FV68" s="4"/>
      <c r="FW68" s="4"/>
      <c r="FX68" s="4"/>
      <c r="FY68" s="4"/>
      <c r="FZ68" s="4"/>
      <c r="GA68" s="4"/>
      <c r="GB68" s="4"/>
      <c r="GC68" s="4"/>
      <c r="GD68" s="4"/>
      <c r="GE68" s="4"/>
      <c r="GF68" s="4"/>
      <c r="GG68" s="4"/>
      <c r="GH68" s="4"/>
      <c r="GI68" s="4"/>
      <c r="GJ68" s="4"/>
      <c r="GK68" s="4"/>
      <c r="GL68" s="4"/>
      <c r="GM68" s="4"/>
      <c r="GN68" s="4"/>
      <c r="GO68" s="4"/>
      <c r="GP68" s="4"/>
      <c r="GQ68" s="4"/>
      <c r="GR68" s="4"/>
      <c r="GS68" s="4"/>
      <c r="GT68" s="4"/>
      <c r="GU68" s="4"/>
      <c r="GV68" s="4"/>
      <c r="GW68" s="4"/>
      <c r="GX68" s="4"/>
      <c r="GY68" s="4"/>
      <c r="GZ68" s="4"/>
      <c r="HA68" s="4"/>
      <c r="HB68" s="4"/>
      <c r="HC68" s="4"/>
      <c r="HD68" s="4"/>
      <c r="HE68" s="4"/>
      <c r="HF68" s="4"/>
      <c r="HG68" s="4"/>
      <c r="HH68" s="4"/>
      <c r="HI68" s="4"/>
      <c r="HJ68" s="4"/>
      <c r="HK68" s="4"/>
      <c r="HL68" s="4"/>
      <c r="HM68" s="4"/>
      <c r="HN68" s="4"/>
      <c r="HO68" s="4"/>
      <c r="HP68" s="4"/>
      <c r="HQ68" s="4"/>
      <c r="HR68" s="4"/>
      <c r="HS68" s="4"/>
      <c r="HT68" s="4"/>
      <c r="HU68" s="4"/>
      <c r="HV68" s="4"/>
      <c r="HW68" s="4"/>
      <c r="HX68" s="4"/>
      <c r="HY68" s="4"/>
      <c r="HZ68" s="4"/>
      <c r="IA68" s="4"/>
      <c r="IB68" s="4"/>
      <c r="IC68" s="4"/>
      <c r="ID68" s="4"/>
      <c r="IE68" s="4"/>
      <c r="IF68" s="4"/>
      <c r="IG68" s="4"/>
      <c r="IH68" s="4"/>
      <c r="II68" s="4"/>
      <c r="IJ68" s="4"/>
      <c r="IK68" s="4"/>
      <c r="IL68" s="4"/>
      <c r="IM68" s="4"/>
      <c r="IN68" s="4"/>
      <c r="IO68" s="4"/>
      <c r="IP68" s="4"/>
      <c r="IQ68" s="4"/>
      <c r="IR68" s="4"/>
      <c r="IS68" s="4"/>
      <c r="IT68" s="4"/>
      <c r="IU68" s="4"/>
      <c r="IV68" s="4"/>
      <c r="IW68" s="4"/>
      <c r="IX68" s="4"/>
      <c r="IY68" s="4"/>
      <c r="IZ68" s="4"/>
      <c r="JA68" s="4"/>
      <c r="JB68" s="4"/>
      <c r="JC68" s="4"/>
      <c r="JD68" s="4"/>
      <c r="JE68" s="4"/>
      <c r="JF68" s="4"/>
      <c r="JG68" s="4"/>
      <c r="JH68" s="4"/>
      <c r="JI68" s="4"/>
      <c r="JJ68" s="4"/>
      <c r="JK68" s="4"/>
      <c r="JL68" s="4"/>
      <c r="JM68" s="4"/>
      <c r="JN68" s="4"/>
      <c r="JO68" s="4"/>
      <c r="JP68" s="4"/>
      <c r="JQ68" s="4"/>
      <c r="JR68" s="4"/>
      <c r="JS68" s="4"/>
      <c r="JT68" s="4"/>
      <c r="JU68" s="4"/>
      <c r="JV68" s="4"/>
      <c r="JW68" s="4"/>
      <c r="JX68" s="4"/>
      <c r="JY68" s="4"/>
      <c r="JZ68" s="4"/>
      <c r="KA68" s="4"/>
      <c r="KB68" s="4"/>
      <c r="KC68" s="4"/>
      <c r="KD68" s="4"/>
      <c r="KE68" s="4"/>
      <c r="KF68" s="4"/>
      <c r="KG68" s="4"/>
      <c r="KH68" s="4"/>
      <c r="KI68" s="4"/>
      <c r="KJ68" s="4"/>
      <c r="KK68" s="4"/>
      <c r="KL68" s="4"/>
      <c r="KM68" s="4"/>
      <c r="KN68" s="4"/>
      <c r="KO68" s="4"/>
      <c r="KP68" s="4"/>
      <c r="KQ68" s="4"/>
      <c r="KR68" s="4"/>
      <c r="KS68" s="4"/>
      <c r="KT68" s="4"/>
      <c r="KU68" s="4"/>
      <c r="KV68" s="4"/>
      <c r="KW68" s="4"/>
      <c r="KX68" s="4"/>
      <c r="KY68" s="4"/>
      <c r="KZ68" s="4"/>
      <c r="LA68" s="4"/>
      <c r="LB68" s="4"/>
      <c r="LC68" s="4"/>
      <c r="LD68" s="4"/>
    </row>
    <row r="69" spans="1:316" x14ac:dyDescent="0.3">
      <c r="A69" s="32" t="s">
        <v>108</v>
      </c>
      <c r="B69" s="52">
        <f t="shared" si="7"/>
        <v>0.75</v>
      </c>
      <c r="C69" s="51">
        <v>2008</v>
      </c>
      <c r="D69" s="3">
        <f t="shared" si="9"/>
        <v>1506</v>
      </c>
      <c r="E69" s="50">
        <f t="shared" si="8"/>
        <v>1506</v>
      </c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  <c r="EP69" s="4"/>
      <c r="EQ69" s="4"/>
      <c r="ER69" s="4"/>
      <c r="ES69" s="4"/>
      <c r="ET69" s="4"/>
      <c r="EU69" s="4"/>
      <c r="EV69" s="4"/>
      <c r="EW69" s="4"/>
      <c r="EX69" s="4"/>
      <c r="EY69" s="4"/>
      <c r="EZ69" s="4"/>
      <c r="FA69" s="4"/>
      <c r="FB69" s="4"/>
      <c r="FC69" s="4"/>
      <c r="FD69" s="4"/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  <c r="FS69" s="4"/>
      <c r="FT69" s="4"/>
      <c r="FU69" s="4"/>
      <c r="FV69" s="4"/>
      <c r="FW69" s="4"/>
      <c r="FX69" s="4"/>
      <c r="FY69" s="4"/>
      <c r="FZ69" s="4"/>
      <c r="GA69" s="4"/>
      <c r="GB69" s="4"/>
      <c r="GC69" s="4"/>
      <c r="GD69" s="4"/>
      <c r="GE69" s="4"/>
      <c r="GF69" s="4"/>
      <c r="GG69" s="4"/>
      <c r="GH69" s="4"/>
      <c r="GI69" s="4"/>
      <c r="GJ69" s="4"/>
      <c r="GK69" s="4"/>
      <c r="GL69" s="4"/>
      <c r="GM69" s="4"/>
      <c r="GN69" s="4"/>
      <c r="GO69" s="4"/>
      <c r="GP69" s="4"/>
      <c r="GQ69" s="4"/>
      <c r="GR69" s="4"/>
      <c r="GS69" s="4"/>
      <c r="GT69" s="4"/>
      <c r="GU69" s="4"/>
      <c r="GV69" s="4"/>
      <c r="GW69" s="4"/>
      <c r="GX69" s="4"/>
      <c r="GY69" s="4"/>
      <c r="GZ69" s="4"/>
      <c r="HA69" s="4"/>
      <c r="HB69" s="4"/>
      <c r="HC69" s="4"/>
      <c r="HD69" s="4"/>
      <c r="HE69" s="4"/>
      <c r="HF69" s="4"/>
      <c r="HG69" s="4"/>
      <c r="HH69" s="4"/>
      <c r="HI69" s="4"/>
      <c r="HJ69" s="4"/>
      <c r="HK69" s="4"/>
      <c r="HL69" s="4"/>
      <c r="HM69" s="4"/>
      <c r="HN69" s="4"/>
      <c r="HO69" s="4"/>
      <c r="HP69" s="4"/>
      <c r="HQ69" s="4"/>
      <c r="HR69" s="4"/>
      <c r="HS69" s="4"/>
      <c r="HT69" s="4"/>
      <c r="HU69" s="4"/>
      <c r="HV69" s="4"/>
      <c r="HW69" s="4"/>
      <c r="HX69" s="4"/>
      <c r="HY69" s="4"/>
      <c r="HZ69" s="4"/>
      <c r="IA69" s="4"/>
      <c r="IB69" s="4"/>
      <c r="IC69" s="4"/>
      <c r="ID69" s="4"/>
      <c r="IE69" s="4"/>
      <c r="IF69" s="4"/>
      <c r="IG69" s="4"/>
      <c r="IH69" s="4"/>
      <c r="II69" s="4"/>
      <c r="IJ69" s="4"/>
      <c r="IK69" s="4"/>
      <c r="IL69" s="4"/>
      <c r="IM69" s="4"/>
      <c r="IN69" s="4"/>
      <c r="IO69" s="4"/>
      <c r="IP69" s="4"/>
      <c r="IQ69" s="4"/>
      <c r="IR69" s="4"/>
      <c r="IS69" s="4"/>
      <c r="IT69" s="4"/>
      <c r="IU69" s="4"/>
      <c r="IV69" s="4"/>
      <c r="IW69" s="4"/>
      <c r="IX69" s="4"/>
      <c r="IY69" s="4"/>
      <c r="IZ69" s="4"/>
      <c r="JA69" s="4"/>
      <c r="JB69" s="4"/>
      <c r="JC69" s="4"/>
      <c r="JD69" s="4"/>
      <c r="JE69" s="4"/>
      <c r="JF69" s="4"/>
      <c r="JG69" s="4"/>
      <c r="JH69" s="4"/>
      <c r="JI69" s="4"/>
      <c r="JJ69" s="4"/>
      <c r="JK69" s="4"/>
      <c r="JL69" s="4"/>
      <c r="JM69" s="4"/>
      <c r="JN69" s="4"/>
      <c r="JO69" s="4"/>
      <c r="JP69" s="4"/>
      <c r="JQ69" s="4"/>
      <c r="JR69" s="4"/>
      <c r="JS69" s="4"/>
      <c r="JT69" s="4"/>
      <c r="JU69" s="4"/>
      <c r="JV69" s="4"/>
      <c r="JW69" s="4"/>
      <c r="JX69" s="4"/>
      <c r="JY69" s="4"/>
      <c r="JZ69" s="4"/>
      <c r="KA69" s="4"/>
      <c r="KB69" s="4"/>
      <c r="KC69" s="4"/>
      <c r="KD69" s="4"/>
      <c r="KE69" s="4"/>
      <c r="KF69" s="4"/>
      <c r="KG69" s="4"/>
      <c r="KH69" s="4"/>
      <c r="KI69" s="4"/>
      <c r="KJ69" s="4"/>
      <c r="KK69" s="4"/>
      <c r="KL69" s="4"/>
      <c r="KM69" s="4"/>
      <c r="KN69" s="4"/>
      <c r="KO69" s="4"/>
      <c r="KP69" s="4"/>
      <c r="KQ69" s="4"/>
      <c r="KR69" s="4"/>
      <c r="KS69" s="4"/>
      <c r="KT69" s="4"/>
      <c r="KU69" s="4"/>
      <c r="KV69" s="4"/>
      <c r="KW69" s="4"/>
      <c r="KX69" s="4"/>
      <c r="KY69" s="4"/>
      <c r="KZ69" s="4"/>
      <c r="LA69" s="4"/>
      <c r="LB69" s="4"/>
      <c r="LC69" s="4"/>
      <c r="LD69" s="4"/>
    </row>
    <row r="70" spans="1:316" s="15" customFormat="1" x14ac:dyDescent="0.3">
      <c r="A70" s="29" t="s">
        <v>121</v>
      </c>
      <c r="B70" s="56">
        <f t="shared" si="7"/>
        <v>0.85</v>
      </c>
      <c r="C70" s="55">
        <v>2008</v>
      </c>
      <c r="D70" s="54">
        <f t="shared" si="9"/>
        <v>1706.8</v>
      </c>
      <c r="E70" s="53">
        <f t="shared" si="8"/>
        <v>3413.6</v>
      </c>
      <c r="F70"/>
      <c r="G70"/>
      <c r="H70"/>
      <c r="I70"/>
      <c r="J70"/>
      <c r="K70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  <c r="EP70" s="4"/>
      <c r="EQ70" s="4"/>
      <c r="ER70" s="4"/>
      <c r="ES70" s="4"/>
      <c r="ET70" s="4"/>
      <c r="EU70" s="4"/>
      <c r="EV70" s="4"/>
      <c r="EW70" s="4"/>
      <c r="EX70" s="4"/>
      <c r="EY70" s="4"/>
      <c r="EZ70" s="4"/>
      <c r="FA70" s="4"/>
      <c r="FB70" s="4"/>
      <c r="FC70" s="4"/>
      <c r="FD70" s="4"/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  <c r="FS70" s="4"/>
      <c r="FT70" s="4"/>
      <c r="FU70" s="4"/>
      <c r="FV70" s="4"/>
      <c r="FW70" s="4"/>
      <c r="FX70" s="4"/>
      <c r="FY70" s="4"/>
      <c r="FZ70" s="4"/>
      <c r="GA70" s="4"/>
      <c r="GB70" s="4"/>
      <c r="GC70" s="4"/>
      <c r="GD70" s="4"/>
      <c r="GE70" s="4"/>
      <c r="GF70" s="4"/>
      <c r="GG70" s="4"/>
      <c r="GH70" s="4"/>
      <c r="GI70" s="4"/>
      <c r="GJ70" s="4"/>
      <c r="GK70" s="4"/>
      <c r="GL70" s="4"/>
      <c r="GM70" s="4"/>
      <c r="GN70" s="4"/>
      <c r="GO70" s="4"/>
      <c r="GP70" s="4"/>
      <c r="GQ70" s="4"/>
      <c r="GR70" s="4"/>
      <c r="GS70" s="4"/>
      <c r="GT70" s="4"/>
      <c r="GU70" s="4"/>
      <c r="GV70" s="4"/>
      <c r="GW70" s="4"/>
      <c r="GX70" s="4"/>
      <c r="GY70" s="4"/>
      <c r="GZ70" s="4"/>
      <c r="HA70" s="4"/>
      <c r="HB70" s="4"/>
      <c r="HC70" s="4"/>
      <c r="HD70" s="4"/>
      <c r="HE70" s="4"/>
      <c r="HF70" s="4"/>
      <c r="HG70" s="4"/>
      <c r="HH70" s="4"/>
      <c r="HI70" s="4"/>
      <c r="HJ70" s="4"/>
      <c r="HK70" s="4"/>
      <c r="HL70" s="4"/>
      <c r="HM70" s="4"/>
      <c r="HN70" s="4"/>
      <c r="HO70" s="4"/>
      <c r="HP70" s="4"/>
      <c r="HQ70" s="4"/>
      <c r="HR70" s="4"/>
      <c r="HS70" s="4"/>
      <c r="HT70" s="4"/>
      <c r="HU70" s="4"/>
      <c r="HV70" s="4"/>
      <c r="HW70" s="4"/>
      <c r="HX70" s="4"/>
      <c r="HY70" s="4"/>
      <c r="HZ70" s="4"/>
      <c r="IA70" s="4"/>
      <c r="IB70" s="4"/>
      <c r="IC70" s="4"/>
      <c r="ID70" s="4"/>
      <c r="IE70" s="4"/>
      <c r="IF70" s="4"/>
      <c r="IG70" s="4"/>
      <c r="IH70" s="4"/>
      <c r="II70" s="4"/>
      <c r="IJ70" s="4"/>
      <c r="IK70" s="4"/>
      <c r="IL70" s="4"/>
      <c r="IM70" s="4"/>
      <c r="IN70" s="4"/>
      <c r="IO70" s="4"/>
      <c r="IP70" s="4"/>
      <c r="IQ70" s="4"/>
      <c r="IR70" s="4"/>
      <c r="IS70" s="4"/>
      <c r="IT70" s="4"/>
      <c r="IU70" s="4"/>
      <c r="IV70" s="4"/>
      <c r="IW70" s="4"/>
      <c r="IX70" s="4"/>
      <c r="IY70" s="4"/>
      <c r="IZ70" s="4"/>
      <c r="JA70" s="4"/>
      <c r="JB70" s="4"/>
      <c r="JC70" s="4"/>
      <c r="JD70" s="4"/>
      <c r="JE70" s="4"/>
      <c r="JF70" s="4"/>
      <c r="JG70" s="4"/>
      <c r="JH70" s="4"/>
      <c r="JI70" s="4"/>
      <c r="JJ70" s="4"/>
      <c r="JK70" s="4"/>
      <c r="JL70" s="4"/>
      <c r="JM70" s="4"/>
      <c r="JN70" s="4"/>
      <c r="JO70" s="4"/>
      <c r="JP70" s="4"/>
      <c r="JQ70" s="4"/>
      <c r="JR70" s="4"/>
      <c r="JS70" s="4"/>
      <c r="JT70" s="4"/>
      <c r="JU70" s="4"/>
      <c r="JV70" s="4"/>
      <c r="JW70" s="4"/>
      <c r="JX70" s="4"/>
      <c r="JY70" s="4"/>
      <c r="JZ70" s="4"/>
      <c r="KA70" s="4"/>
      <c r="KB70" s="4"/>
      <c r="KC70" s="4"/>
      <c r="KD70" s="4"/>
      <c r="KE70" s="4"/>
      <c r="KF70" s="4"/>
      <c r="KG70" s="4"/>
      <c r="KH70" s="4"/>
      <c r="KI70" s="4"/>
      <c r="KJ70" s="4"/>
      <c r="KK70" s="4"/>
      <c r="KL70" s="4"/>
      <c r="KM70" s="4"/>
      <c r="KN70" s="4"/>
      <c r="KO70" s="4"/>
      <c r="KP70" s="4"/>
      <c r="KQ70" s="4"/>
      <c r="KR70" s="4"/>
      <c r="KS70" s="4"/>
      <c r="KT70" s="4"/>
      <c r="KU70" s="4"/>
      <c r="KV70" s="4"/>
      <c r="KW70" s="4"/>
      <c r="KX70" s="4"/>
      <c r="KY70" s="4"/>
      <c r="KZ70" s="4"/>
      <c r="LA70" s="4"/>
      <c r="LB70" s="4"/>
      <c r="LC70" s="4"/>
      <c r="LD70" s="4"/>
    </row>
    <row r="71" spans="1:316" x14ac:dyDescent="0.3">
      <c r="A71" s="32" t="s">
        <v>122</v>
      </c>
      <c r="B71" s="52">
        <f t="shared" si="7"/>
        <v>0.7</v>
      </c>
      <c r="C71" s="51">
        <v>2008</v>
      </c>
      <c r="D71" s="3">
        <f t="shared" si="9"/>
        <v>1405.6</v>
      </c>
      <c r="E71" s="50">
        <f t="shared" si="8"/>
        <v>5622.4</v>
      </c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  <c r="FS71" s="4"/>
      <c r="FT71" s="4"/>
      <c r="FU71" s="4"/>
      <c r="FV71" s="4"/>
      <c r="FW71" s="4"/>
      <c r="FX71" s="4"/>
      <c r="FY71" s="4"/>
      <c r="FZ71" s="4"/>
      <c r="GA71" s="4"/>
      <c r="GB71" s="4"/>
      <c r="GC71" s="4"/>
      <c r="GD71" s="4"/>
      <c r="GE71" s="4"/>
      <c r="GF71" s="4"/>
      <c r="GG71" s="4"/>
      <c r="GH71" s="4"/>
      <c r="GI71" s="4"/>
      <c r="GJ71" s="4"/>
      <c r="GK71" s="4"/>
      <c r="GL71" s="4"/>
      <c r="GM71" s="4"/>
      <c r="GN71" s="4"/>
      <c r="GO71" s="4"/>
      <c r="GP71" s="4"/>
      <c r="GQ71" s="4"/>
      <c r="GR71" s="4"/>
      <c r="GS71" s="4"/>
      <c r="GT71" s="4"/>
      <c r="GU71" s="4"/>
      <c r="GV71" s="4"/>
      <c r="GW71" s="4"/>
      <c r="GX71" s="4"/>
      <c r="GY71" s="4"/>
      <c r="GZ71" s="4"/>
      <c r="HA71" s="4"/>
      <c r="HB71" s="4"/>
      <c r="HC71" s="4"/>
      <c r="HD71" s="4"/>
      <c r="HE71" s="4"/>
      <c r="HF71" s="4"/>
      <c r="HG71" s="4"/>
      <c r="HH71" s="4"/>
      <c r="HI71" s="4"/>
      <c r="HJ71" s="4"/>
      <c r="HK71" s="4"/>
      <c r="HL71" s="4"/>
      <c r="HM71" s="4"/>
      <c r="HN71" s="4"/>
      <c r="HO71" s="4"/>
      <c r="HP71" s="4"/>
      <c r="HQ71" s="4"/>
      <c r="HR71" s="4"/>
      <c r="HS71" s="4"/>
      <c r="HT71" s="4"/>
      <c r="HU71" s="4"/>
      <c r="HV71" s="4"/>
      <c r="HW71" s="4"/>
      <c r="HX71" s="4"/>
      <c r="HY71" s="4"/>
      <c r="HZ71" s="4"/>
      <c r="IA71" s="4"/>
      <c r="IB71" s="4"/>
      <c r="IC71" s="4"/>
      <c r="ID71" s="4"/>
      <c r="IE71" s="4"/>
      <c r="IF71" s="4"/>
      <c r="IG71" s="4"/>
      <c r="IH71" s="4"/>
      <c r="II71" s="4"/>
      <c r="IJ71" s="4"/>
      <c r="IK71" s="4"/>
      <c r="IL71" s="4"/>
      <c r="IM71" s="4"/>
      <c r="IN71" s="4"/>
      <c r="IO71" s="4"/>
      <c r="IP71" s="4"/>
      <c r="IQ71" s="4"/>
      <c r="IR71" s="4"/>
      <c r="IS71" s="4"/>
      <c r="IT71" s="4"/>
      <c r="IU71" s="4"/>
      <c r="IV71" s="4"/>
      <c r="IW71" s="4"/>
      <c r="IX71" s="4"/>
      <c r="IY71" s="4"/>
      <c r="IZ71" s="4"/>
      <c r="JA71" s="4"/>
      <c r="JB71" s="4"/>
      <c r="JC71" s="4"/>
      <c r="JD71" s="4"/>
      <c r="JE71" s="4"/>
      <c r="JF71" s="4"/>
      <c r="JG71" s="4"/>
      <c r="JH71" s="4"/>
      <c r="JI71" s="4"/>
      <c r="JJ71" s="4"/>
      <c r="JK71" s="4"/>
      <c r="JL71" s="4"/>
      <c r="JM71" s="4"/>
      <c r="JN71" s="4"/>
      <c r="JO71" s="4"/>
      <c r="JP71" s="4"/>
      <c r="JQ71" s="4"/>
      <c r="JR71" s="4"/>
      <c r="JS71" s="4"/>
      <c r="JT71" s="4"/>
      <c r="JU71" s="4"/>
      <c r="JV71" s="4"/>
      <c r="JW71" s="4"/>
      <c r="JX71" s="4"/>
      <c r="JY71" s="4"/>
      <c r="JZ71" s="4"/>
      <c r="KA71" s="4"/>
      <c r="KB71" s="4"/>
      <c r="KC71" s="4"/>
      <c r="KD71" s="4"/>
      <c r="KE71" s="4"/>
      <c r="KF71" s="4"/>
      <c r="KG71" s="4"/>
      <c r="KH71" s="4"/>
      <c r="KI71" s="4"/>
      <c r="KJ71" s="4"/>
      <c r="KK71" s="4"/>
      <c r="KL71" s="4"/>
      <c r="KM71" s="4"/>
      <c r="KN71" s="4"/>
      <c r="KO71" s="4"/>
      <c r="KP71" s="4"/>
      <c r="KQ71" s="4"/>
      <c r="KR71" s="4"/>
      <c r="KS71" s="4"/>
      <c r="KT71" s="4"/>
      <c r="KU71" s="4"/>
      <c r="KV71" s="4"/>
      <c r="KW71" s="4"/>
      <c r="KX71" s="4"/>
      <c r="KY71" s="4"/>
      <c r="KZ71" s="4"/>
      <c r="LA71" s="4"/>
      <c r="LB71" s="4"/>
      <c r="LC71" s="4"/>
      <c r="LD71" s="4"/>
    </row>
    <row r="72" spans="1:316" s="15" customFormat="1" ht="15" thickBot="1" x14ac:dyDescent="0.35">
      <c r="A72" s="38" t="s">
        <v>123</v>
      </c>
      <c r="B72" s="49">
        <f t="shared" si="7"/>
        <v>0</v>
      </c>
      <c r="C72" s="48"/>
      <c r="D72" s="48"/>
      <c r="E72" s="47">
        <f t="shared" si="8"/>
        <v>0</v>
      </c>
      <c r="F72"/>
      <c r="G72"/>
      <c r="H72"/>
      <c r="I72"/>
      <c r="J72"/>
      <c r="K7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  <c r="EP72" s="4"/>
      <c r="EQ72" s="4"/>
      <c r="ER72" s="4"/>
      <c r="ES72" s="4"/>
      <c r="ET72" s="4"/>
      <c r="EU72" s="4"/>
      <c r="EV72" s="4"/>
      <c r="EW72" s="4"/>
      <c r="EX72" s="4"/>
      <c r="EY72" s="4"/>
      <c r="EZ72" s="4"/>
      <c r="FA72" s="4"/>
      <c r="FB72" s="4"/>
      <c r="FC72" s="4"/>
      <c r="FD72" s="4"/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  <c r="FS72" s="4"/>
      <c r="FT72" s="4"/>
      <c r="FU72" s="4"/>
      <c r="FV72" s="4"/>
      <c r="FW72" s="4"/>
      <c r="FX72" s="4"/>
      <c r="FY72" s="4"/>
      <c r="FZ72" s="4"/>
      <c r="GA72" s="4"/>
      <c r="GB72" s="4"/>
      <c r="GC72" s="4"/>
      <c r="GD72" s="4"/>
      <c r="GE72" s="4"/>
      <c r="GF72" s="4"/>
      <c r="GG72" s="4"/>
      <c r="GH72" s="4"/>
      <c r="GI72" s="4"/>
      <c r="GJ72" s="4"/>
      <c r="GK72" s="4"/>
      <c r="GL72" s="4"/>
      <c r="GM72" s="4"/>
      <c r="GN72" s="4"/>
      <c r="GO72" s="4"/>
      <c r="GP72" s="4"/>
      <c r="GQ72" s="4"/>
      <c r="GR72" s="4"/>
      <c r="GS72" s="4"/>
      <c r="GT72" s="4"/>
      <c r="GU72" s="4"/>
      <c r="GV72" s="4"/>
      <c r="GW72" s="4"/>
      <c r="GX72" s="4"/>
      <c r="GY72" s="4"/>
      <c r="GZ72" s="4"/>
      <c r="HA72" s="4"/>
      <c r="HB72" s="4"/>
      <c r="HC72" s="4"/>
      <c r="HD72" s="4"/>
      <c r="HE72" s="4"/>
      <c r="HF72" s="4"/>
      <c r="HG72" s="4"/>
      <c r="HH72" s="4"/>
      <c r="HI72" s="4"/>
      <c r="HJ72" s="4"/>
      <c r="HK72" s="4"/>
      <c r="HL72" s="4"/>
      <c r="HM72" s="4"/>
      <c r="HN72" s="4"/>
      <c r="HO72" s="4"/>
      <c r="HP72" s="4"/>
      <c r="HQ72" s="4"/>
      <c r="HR72" s="4"/>
      <c r="HS72" s="4"/>
      <c r="HT72" s="4"/>
      <c r="HU72" s="4"/>
      <c r="HV72" s="4"/>
      <c r="HW72" s="4"/>
      <c r="HX72" s="4"/>
      <c r="HY72" s="4"/>
      <c r="HZ72" s="4"/>
      <c r="IA72" s="4"/>
      <c r="IB72" s="4"/>
      <c r="IC72" s="4"/>
      <c r="ID72" s="4"/>
      <c r="IE72" s="4"/>
      <c r="IF72" s="4"/>
      <c r="IG72" s="4"/>
      <c r="IH72" s="4"/>
      <c r="II72" s="4"/>
      <c r="IJ72" s="4"/>
      <c r="IK72" s="4"/>
      <c r="IL72" s="4"/>
      <c r="IM72" s="4"/>
      <c r="IN72" s="4"/>
      <c r="IO72" s="4"/>
      <c r="IP72" s="4"/>
      <c r="IQ72" s="4"/>
      <c r="IR72" s="4"/>
      <c r="IS72" s="4"/>
      <c r="IT72" s="4"/>
      <c r="IU72" s="4"/>
      <c r="IV72" s="4"/>
      <c r="IW72" s="4"/>
      <c r="IX72" s="4"/>
      <c r="IY72" s="4"/>
      <c r="IZ72" s="4"/>
      <c r="JA72" s="4"/>
      <c r="JB72" s="4"/>
      <c r="JC72" s="4"/>
      <c r="JD72" s="4"/>
      <c r="JE72" s="4"/>
      <c r="JF72" s="4"/>
      <c r="JG72" s="4"/>
      <c r="JH72" s="4"/>
      <c r="JI72" s="4"/>
      <c r="JJ72" s="4"/>
      <c r="JK72" s="4"/>
      <c r="JL72" s="4"/>
      <c r="JM72" s="4"/>
      <c r="JN72" s="4"/>
      <c r="JO72" s="4"/>
      <c r="JP72" s="4"/>
      <c r="JQ72" s="4"/>
      <c r="JR72" s="4"/>
      <c r="JS72" s="4"/>
      <c r="JT72" s="4"/>
      <c r="JU72" s="4"/>
      <c r="JV72" s="4"/>
      <c r="JW72" s="4"/>
      <c r="JX72" s="4"/>
      <c r="JY72" s="4"/>
      <c r="JZ72" s="4"/>
      <c r="KA72" s="4"/>
      <c r="KB72" s="4"/>
      <c r="KC72" s="4"/>
      <c r="KD72" s="4"/>
      <c r="KE72" s="4"/>
      <c r="KF72" s="4"/>
      <c r="KG72" s="4"/>
      <c r="KH72" s="4"/>
      <c r="KI72" s="4"/>
      <c r="KJ72" s="4"/>
      <c r="KK72" s="4"/>
      <c r="KL72" s="4"/>
      <c r="KM72" s="4"/>
      <c r="KN72" s="4"/>
      <c r="KO72" s="4"/>
      <c r="KP72" s="4"/>
      <c r="KQ72" s="4"/>
      <c r="KR72" s="4"/>
      <c r="KS72" s="4"/>
      <c r="KT72" s="4"/>
      <c r="KU72" s="4"/>
      <c r="KV72" s="4"/>
      <c r="KW72" s="4"/>
      <c r="KX72" s="4"/>
      <c r="KY72" s="4"/>
      <c r="KZ72" s="4"/>
      <c r="LA72" s="4"/>
      <c r="LB72" s="4"/>
      <c r="LC72" s="4"/>
      <c r="LD72" s="4"/>
    </row>
    <row r="73" spans="1:316" ht="15" thickBot="1" x14ac:dyDescent="0.35">
      <c r="A73" s="46" t="s">
        <v>111</v>
      </c>
      <c r="B73" s="45"/>
      <c r="C73" s="45"/>
      <c r="D73" s="44"/>
      <c r="E73" s="43">
        <f>SUM(E64:E72)</f>
        <v>16164.4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  <c r="FS73" s="4"/>
      <c r="FT73" s="4"/>
      <c r="FU73" s="4"/>
      <c r="FV73" s="4"/>
      <c r="FW73" s="4"/>
      <c r="FX73" s="4"/>
      <c r="FY73" s="4"/>
      <c r="FZ73" s="4"/>
      <c r="GA73" s="4"/>
      <c r="GB73" s="4"/>
      <c r="GC73" s="4"/>
      <c r="GD73" s="4"/>
      <c r="GE73" s="4"/>
      <c r="GF73" s="4"/>
      <c r="GG73" s="4"/>
      <c r="GH73" s="4"/>
      <c r="GI73" s="4"/>
      <c r="GJ73" s="4"/>
      <c r="GK73" s="4"/>
      <c r="GL73" s="4"/>
      <c r="GM73" s="4"/>
      <c r="GN73" s="4"/>
      <c r="GO73" s="4"/>
      <c r="GP73" s="4"/>
      <c r="GQ73" s="4"/>
      <c r="GR73" s="4"/>
      <c r="GS73" s="4"/>
      <c r="GT73" s="4"/>
      <c r="GU73" s="4"/>
      <c r="GV73" s="4"/>
      <c r="GW73" s="4"/>
      <c r="GX73" s="4"/>
      <c r="GY73" s="4"/>
      <c r="GZ73" s="4"/>
      <c r="HA73" s="4"/>
      <c r="HB73" s="4"/>
      <c r="HC73" s="4"/>
      <c r="HD73" s="4"/>
      <c r="HE73" s="4"/>
      <c r="HF73" s="4"/>
      <c r="HG73" s="4"/>
      <c r="HH73" s="4"/>
      <c r="HI73" s="4"/>
      <c r="HJ73" s="4"/>
      <c r="HK73" s="4"/>
      <c r="HL73" s="4"/>
      <c r="HM73" s="4"/>
      <c r="HN73" s="4"/>
      <c r="HO73" s="4"/>
      <c r="HP73" s="4"/>
      <c r="HQ73" s="4"/>
      <c r="HR73" s="4"/>
      <c r="HS73" s="4"/>
      <c r="HT73" s="4"/>
      <c r="HU73" s="4"/>
      <c r="HV73" s="4"/>
      <c r="HW73" s="4"/>
      <c r="HX73" s="4"/>
      <c r="HY73" s="4"/>
      <c r="HZ73" s="4"/>
      <c r="IA73" s="4"/>
      <c r="IB73" s="4"/>
      <c r="IC73" s="4"/>
      <c r="ID73" s="4"/>
      <c r="IE73" s="4"/>
      <c r="IF73" s="4"/>
      <c r="IG73" s="4"/>
      <c r="IH73" s="4"/>
      <c r="II73" s="4"/>
      <c r="IJ73" s="4"/>
      <c r="IK73" s="4"/>
      <c r="IL73" s="4"/>
      <c r="IM73" s="4"/>
      <c r="IN73" s="4"/>
      <c r="IO73" s="4"/>
      <c r="IP73" s="4"/>
      <c r="IQ73" s="4"/>
      <c r="IR73" s="4"/>
      <c r="IS73" s="4"/>
      <c r="IT73" s="4"/>
      <c r="IU73" s="4"/>
      <c r="IV73" s="4"/>
      <c r="IW73" s="4"/>
      <c r="IX73" s="4"/>
      <c r="IY73" s="4"/>
      <c r="IZ73" s="4"/>
      <c r="JA73" s="4"/>
      <c r="JB73" s="4"/>
      <c r="JC73" s="4"/>
      <c r="JD73" s="4"/>
      <c r="JE73" s="4"/>
      <c r="JF73" s="4"/>
      <c r="JG73" s="4"/>
      <c r="JH73" s="4"/>
      <c r="JI73" s="4"/>
      <c r="JJ73" s="4"/>
      <c r="JK73" s="4"/>
      <c r="JL73" s="4"/>
      <c r="JM73" s="4"/>
      <c r="JN73" s="4"/>
      <c r="JO73" s="4"/>
      <c r="JP73" s="4"/>
      <c r="JQ73" s="4"/>
      <c r="JR73" s="4"/>
      <c r="JS73" s="4"/>
      <c r="JT73" s="4"/>
      <c r="JU73" s="4"/>
      <c r="JV73" s="4"/>
      <c r="JW73" s="4"/>
      <c r="JX73" s="4"/>
      <c r="JY73" s="4"/>
      <c r="JZ73" s="4"/>
      <c r="KA73" s="4"/>
      <c r="KB73" s="4"/>
      <c r="KC73" s="4"/>
      <c r="KD73" s="4"/>
      <c r="KE73" s="4"/>
      <c r="KF73" s="4"/>
      <c r="KG73" s="4"/>
      <c r="KH73" s="4"/>
      <c r="KI73" s="4"/>
      <c r="KJ73" s="4"/>
      <c r="KK73" s="4"/>
      <c r="KL73" s="4"/>
      <c r="KM73" s="4"/>
      <c r="KN73" s="4"/>
      <c r="KO73" s="4"/>
      <c r="KP73" s="4"/>
      <c r="KQ73" s="4"/>
      <c r="KR73" s="4"/>
      <c r="KS73" s="4"/>
      <c r="KT73" s="4"/>
      <c r="KU73" s="4"/>
      <c r="KV73" s="4"/>
      <c r="KW73" s="4"/>
      <c r="KX73" s="4"/>
      <c r="KY73" s="4"/>
      <c r="KZ73" s="4"/>
      <c r="LA73" s="4"/>
      <c r="LB73" s="4"/>
      <c r="LC73" s="4"/>
      <c r="LD73" s="4"/>
    </row>
    <row r="74" spans="1:316" ht="15" thickBot="1" x14ac:dyDescent="0.35">
      <c r="A74" s="3"/>
      <c r="B74" s="4"/>
      <c r="C74" s="4"/>
      <c r="D74" s="4"/>
      <c r="E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  <c r="DX74" s="4"/>
      <c r="DY74" s="4"/>
      <c r="DZ74" s="4"/>
      <c r="EA74" s="4"/>
      <c r="EB74" s="4"/>
      <c r="EC74" s="4"/>
      <c r="ED74" s="4"/>
      <c r="EE74" s="4"/>
      <c r="EF74" s="4"/>
      <c r="EG74" s="4"/>
      <c r="EH74" s="4"/>
      <c r="EI74" s="4"/>
      <c r="EJ74" s="4"/>
      <c r="EK74" s="4"/>
      <c r="EL74" s="4"/>
      <c r="EM74" s="4"/>
      <c r="EN74" s="4"/>
      <c r="EO74" s="4"/>
      <c r="EP74" s="4"/>
      <c r="EQ74" s="4"/>
      <c r="ER74" s="4"/>
      <c r="ES74" s="4"/>
      <c r="ET74" s="4"/>
      <c r="EU74" s="4"/>
      <c r="EV74" s="4"/>
      <c r="EW74" s="4"/>
      <c r="EX74" s="4"/>
      <c r="EY74" s="4"/>
      <c r="EZ74" s="4"/>
      <c r="FA74" s="4"/>
      <c r="FB74" s="4"/>
      <c r="FC74" s="4"/>
      <c r="FD74" s="4"/>
      <c r="FE74" s="4"/>
      <c r="FF74" s="4"/>
      <c r="FG74" s="4"/>
      <c r="FH74" s="4"/>
      <c r="FI74" s="4"/>
      <c r="FJ74" s="4"/>
      <c r="FK74" s="4"/>
      <c r="FL74" s="4"/>
      <c r="FM74" s="4"/>
      <c r="FN74" s="4"/>
      <c r="FO74" s="4"/>
      <c r="FP74" s="4"/>
      <c r="FQ74" s="4"/>
      <c r="FR74" s="4"/>
      <c r="FS74" s="4"/>
      <c r="FT74" s="4"/>
      <c r="FU74" s="4"/>
      <c r="FV74" s="4"/>
      <c r="FW74" s="4"/>
      <c r="FX74" s="4"/>
      <c r="FY74" s="4"/>
      <c r="FZ74" s="4"/>
      <c r="GA74" s="4"/>
      <c r="GB74" s="4"/>
      <c r="GC74" s="4"/>
      <c r="GD74" s="4"/>
      <c r="GE74" s="4"/>
      <c r="GF74" s="4"/>
      <c r="GG74" s="4"/>
      <c r="GH74" s="4"/>
      <c r="GI74" s="4"/>
      <c r="GJ74" s="4"/>
      <c r="GK74" s="4"/>
      <c r="GL74" s="4"/>
      <c r="GM74" s="4"/>
      <c r="GN74" s="4"/>
      <c r="GO74" s="4"/>
      <c r="GP74" s="4"/>
      <c r="GQ74" s="4"/>
      <c r="GR74" s="4"/>
      <c r="GS74" s="4"/>
      <c r="GT74" s="4"/>
      <c r="GU74" s="4"/>
      <c r="GV74" s="4"/>
      <c r="GW74" s="4"/>
      <c r="GX74" s="4"/>
      <c r="GY74" s="4"/>
      <c r="GZ74" s="4"/>
      <c r="HA74" s="4"/>
      <c r="HB74" s="4"/>
      <c r="HC74" s="4"/>
      <c r="HD74" s="4"/>
      <c r="HE74" s="4"/>
      <c r="HF74" s="4"/>
      <c r="HG74" s="4"/>
      <c r="HH74" s="4"/>
      <c r="HI74" s="4"/>
      <c r="HJ74" s="4"/>
      <c r="HK74" s="4"/>
      <c r="HL74" s="4"/>
      <c r="HM74" s="4"/>
      <c r="HN74" s="4"/>
      <c r="HO74" s="4"/>
      <c r="HP74" s="4"/>
      <c r="HQ74" s="4"/>
      <c r="HR74" s="4"/>
      <c r="HS74" s="4"/>
      <c r="HT74" s="4"/>
      <c r="HU74" s="4"/>
      <c r="HV74" s="4"/>
      <c r="HW74" s="4"/>
      <c r="HX74" s="4"/>
      <c r="HY74" s="4"/>
      <c r="HZ74" s="4"/>
      <c r="IA74" s="4"/>
      <c r="IB74" s="4"/>
      <c r="IC74" s="4"/>
      <c r="ID74" s="4"/>
      <c r="IE74" s="4"/>
      <c r="IF74" s="4"/>
      <c r="IG74" s="4"/>
      <c r="IH74" s="4"/>
      <c r="II74" s="4"/>
      <c r="IJ74" s="4"/>
      <c r="IK74" s="4"/>
      <c r="IL74" s="4"/>
      <c r="IM74" s="4"/>
      <c r="IN74" s="4"/>
      <c r="IO74" s="4"/>
      <c r="IP74" s="4"/>
      <c r="IQ74" s="4"/>
      <c r="IR74" s="4"/>
      <c r="IS74" s="4"/>
      <c r="IT74" s="4"/>
      <c r="IU74" s="4"/>
      <c r="IV74" s="4"/>
      <c r="IW74" s="4"/>
      <c r="IX74" s="4"/>
      <c r="IY74" s="4"/>
      <c r="IZ74" s="4"/>
      <c r="JA74" s="4"/>
      <c r="JB74" s="4"/>
      <c r="JC74" s="4"/>
      <c r="JD74" s="4"/>
      <c r="JE74" s="4"/>
      <c r="JF74" s="4"/>
      <c r="JG74" s="4"/>
      <c r="JH74" s="4"/>
      <c r="JI74" s="4"/>
      <c r="JJ74" s="4"/>
      <c r="JK74" s="4"/>
      <c r="JL74" s="4"/>
      <c r="JM74" s="4"/>
      <c r="JN74" s="4"/>
      <c r="JO74" s="4"/>
      <c r="JP74" s="4"/>
      <c r="JQ74" s="4"/>
      <c r="JR74" s="4"/>
      <c r="JS74" s="4"/>
      <c r="JT74" s="4"/>
      <c r="JU74" s="4"/>
      <c r="JV74" s="4"/>
      <c r="JW74" s="4"/>
      <c r="JX74" s="4"/>
      <c r="JY74" s="4"/>
      <c r="JZ74" s="4"/>
      <c r="KA74" s="4"/>
      <c r="KB74" s="4"/>
      <c r="KC74" s="4"/>
      <c r="KD74" s="4"/>
      <c r="KE74" s="4"/>
      <c r="KF74" s="4"/>
      <c r="KG74" s="4"/>
      <c r="KH74" s="4"/>
      <c r="KI74" s="4"/>
      <c r="KJ74" s="4"/>
      <c r="KK74" s="4"/>
      <c r="KL74" s="4"/>
      <c r="KM74" s="4"/>
      <c r="KN74" s="4"/>
      <c r="KO74" s="4"/>
      <c r="KP74" s="4"/>
      <c r="KQ74" s="4"/>
      <c r="KR74" s="4"/>
      <c r="KS74" s="4"/>
      <c r="KT74" s="4"/>
      <c r="KU74" s="4"/>
      <c r="KV74" s="4"/>
      <c r="KW74" s="4"/>
      <c r="KX74" s="4"/>
      <c r="KY74" s="4"/>
      <c r="KZ74" s="4"/>
      <c r="LA74" s="4"/>
      <c r="LB74" s="4"/>
      <c r="LC74" s="4"/>
      <c r="LD74" s="4"/>
    </row>
    <row r="75" spans="1:316" x14ac:dyDescent="0.3">
      <c r="A75" s="42" t="s">
        <v>181</v>
      </c>
      <c r="B75" s="41">
        <f>E61+C50+F24</f>
        <v>335500.22000000003</v>
      </c>
      <c r="C75" s="4"/>
      <c r="D75" s="4"/>
      <c r="E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  <c r="DX75" s="4"/>
      <c r="DY75" s="4"/>
      <c r="DZ75" s="4"/>
      <c r="EA75" s="4"/>
      <c r="EB75" s="4"/>
      <c r="EC75" s="4"/>
      <c r="ED75" s="4"/>
      <c r="EE75" s="4"/>
      <c r="EF75" s="4"/>
      <c r="EG75" s="4"/>
      <c r="EH75" s="4"/>
      <c r="EI75" s="4"/>
      <c r="EJ75" s="4"/>
      <c r="EK75" s="4"/>
      <c r="EL75" s="4"/>
      <c r="EM75" s="4"/>
      <c r="EN75" s="4"/>
      <c r="EO75" s="4"/>
      <c r="EP75" s="4"/>
      <c r="EQ75" s="4"/>
      <c r="ER75" s="4"/>
      <c r="ES75" s="4"/>
      <c r="ET75" s="4"/>
      <c r="EU75" s="4"/>
      <c r="EV75" s="4"/>
      <c r="EW75" s="4"/>
      <c r="EX75" s="4"/>
      <c r="EY75" s="4"/>
      <c r="EZ75" s="4"/>
      <c r="FA75" s="4"/>
      <c r="FB75" s="4"/>
      <c r="FC75" s="4"/>
      <c r="FD75" s="4"/>
      <c r="FE75" s="4"/>
      <c r="FF75" s="4"/>
      <c r="FG75" s="4"/>
      <c r="FH75" s="4"/>
      <c r="FI75" s="4"/>
      <c r="FJ75" s="4"/>
      <c r="FK75" s="4"/>
      <c r="FL75" s="4"/>
      <c r="FM75" s="4"/>
      <c r="FN75" s="4"/>
      <c r="FO75" s="4"/>
      <c r="FP75" s="4"/>
      <c r="FQ75" s="4"/>
      <c r="FR75" s="4"/>
      <c r="FS75" s="4"/>
      <c r="FT75" s="4"/>
      <c r="FU75" s="4"/>
      <c r="FV75" s="4"/>
      <c r="FW75" s="4"/>
      <c r="FX75" s="4"/>
      <c r="FY75" s="4"/>
      <c r="FZ75" s="4"/>
      <c r="GA75" s="4"/>
      <c r="GB75" s="4"/>
      <c r="GC75" s="4"/>
      <c r="GD75" s="4"/>
      <c r="GE75" s="4"/>
      <c r="GF75" s="4"/>
      <c r="GG75" s="4"/>
      <c r="GH75" s="4"/>
      <c r="GI75" s="4"/>
      <c r="GJ75" s="4"/>
      <c r="GK75" s="4"/>
      <c r="GL75" s="4"/>
      <c r="GM75" s="4"/>
      <c r="GN75" s="4"/>
      <c r="GO75" s="4"/>
      <c r="GP75" s="4"/>
      <c r="GQ75" s="4"/>
      <c r="GR75" s="4"/>
      <c r="GS75" s="4"/>
      <c r="GT75" s="4"/>
      <c r="GU75" s="4"/>
      <c r="GV75" s="4"/>
      <c r="GW75" s="4"/>
      <c r="GX75" s="4"/>
      <c r="GY75" s="4"/>
      <c r="GZ75" s="4"/>
      <c r="HA75" s="4"/>
      <c r="HB75" s="4"/>
      <c r="HC75" s="4"/>
      <c r="HD75" s="4"/>
      <c r="HE75" s="4"/>
      <c r="HF75" s="4"/>
      <c r="HG75" s="4"/>
      <c r="HH75" s="4"/>
      <c r="HI75" s="4"/>
      <c r="HJ75" s="4"/>
      <c r="HK75" s="4"/>
      <c r="HL75" s="4"/>
      <c r="HM75" s="4"/>
      <c r="HN75" s="4"/>
      <c r="HO75" s="4"/>
      <c r="HP75" s="4"/>
      <c r="HQ75" s="4"/>
      <c r="HR75" s="4"/>
      <c r="HS75" s="4"/>
      <c r="HT75" s="4"/>
      <c r="HU75" s="4"/>
      <c r="HV75" s="4"/>
      <c r="HW75" s="4"/>
      <c r="HX75" s="4"/>
      <c r="HY75" s="4"/>
      <c r="HZ75" s="4"/>
      <c r="IA75" s="4"/>
      <c r="IB75" s="4"/>
      <c r="IC75" s="4"/>
      <c r="ID75" s="4"/>
      <c r="IE75" s="4"/>
      <c r="IF75" s="4"/>
      <c r="IG75" s="4"/>
      <c r="IH75" s="4"/>
      <c r="II75" s="4"/>
      <c r="IJ75" s="4"/>
      <c r="IK75" s="4"/>
      <c r="IL75" s="4"/>
      <c r="IM75" s="4"/>
      <c r="IN75" s="4"/>
      <c r="IO75" s="4"/>
      <c r="IP75" s="4"/>
      <c r="IQ75" s="4"/>
      <c r="IR75" s="4"/>
      <c r="IS75" s="4"/>
      <c r="IT75" s="4"/>
      <c r="IU75" s="4"/>
      <c r="IV75" s="4"/>
      <c r="IW75" s="4"/>
      <c r="IX75" s="4"/>
      <c r="IY75" s="4"/>
      <c r="IZ75" s="4"/>
      <c r="JA75" s="4"/>
      <c r="JB75" s="4"/>
      <c r="JC75" s="4"/>
      <c r="JD75" s="4"/>
      <c r="JE75" s="4"/>
      <c r="JF75" s="4"/>
      <c r="JG75" s="4"/>
      <c r="JH75" s="4"/>
      <c r="JI75" s="4"/>
      <c r="JJ75" s="4"/>
      <c r="JK75" s="4"/>
      <c r="JL75" s="4"/>
      <c r="JM75" s="4"/>
      <c r="JN75" s="4"/>
      <c r="JO75" s="4"/>
      <c r="JP75" s="4"/>
      <c r="JQ75" s="4"/>
      <c r="JR75" s="4"/>
      <c r="JS75" s="4"/>
      <c r="JT75" s="4"/>
      <c r="JU75" s="4"/>
      <c r="JV75" s="4"/>
      <c r="JW75" s="4"/>
      <c r="JX75" s="4"/>
      <c r="JY75" s="4"/>
      <c r="JZ75" s="4"/>
      <c r="KA75" s="4"/>
      <c r="KB75" s="4"/>
      <c r="KC75" s="4"/>
      <c r="KD75" s="4"/>
      <c r="KE75" s="4"/>
      <c r="KF75" s="4"/>
      <c r="KG75" s="4"/>
      <c r="KH75" s="4"/>
      <c r="KI75" s="4"/>
      <c r="KJ75" s="4"/>
      <c r="KK75" s="4"/>
      <c r="KL75" s="4"/>
      <c r="KM75" s="4"/>
      <c r="KN75" s="4"/>
      <c r="KO75" s="4"/>
      <c r="KP75" s="4"/>
      <c r="KQ75" s="4"/>
      <c r="KR75" s="4"/>
      <c r="KS75" s="4"/>
      <c r="KT75" s="4"/>
      <c r="KU75" s="4"/>
      <c r="KV75" s="4"/>
      <c r="KW75" s="4"/>
      <c r="KX75" s="4"/>
      <c r="KY75" s="4"/>
      <c r="KZ75" s="4"/>
      <c r="LA75" s="4"/>
      <c r="LB75" s="4"/>
      <c r="LC75" s="4"/>
      <c r="LD75" s="4"/>
    </row>
    <row r="76" spans="1:316" s="15" customFormat="1" x14ac:dyDescent="0.3">
      <c r="A76" s="29" t="s">
        <v>182</v>
      </c>
      <c r="B76" s="40">
        <f>SUMIFS(B2:B10,C15:C23,"&gt;0")</f>
        <v>11</v>
      </c>
      <c r="C76"/>
      <c r="D76"/>
      <c r="E76"/>
      <c r="F76"/>
      <c r="G76"/>
      <c r="H76"/>
      <c r="I76"/>
      <c r="J76"/>
      <c r="K76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  <c r="DX76" s="4"/>
      <c r="DY76" s="4"/>
      <c r="DZ76" s="4"/>
      <c r="EA76" s="4"/>
      <c r="EB76" s="4"/>
      <c r="EC76" s="4"/>
      <c r="ED76" s="4"/>
      <c r="EE76" s="4"/>
      <c r="EF76" s="4"/>
      <c r="EG76" s="4"/>
      <c r="EH76" s="4"/>
      <c r="EI76" s="4"/>
      <c r="EJ76" s="4"/>
      <c r="EK76" s="4"/>
      <c r="EL76" s="4"/>
      <c r="EM76" s="4"/>
      <c r="EN76" s="4"/>
      <c r="EO76" s="4"/>
      <c r="EP76" s="4"/>
      <c r="EQ76" s="4"/>
      <c r="ER76" s="4"/>
      <c r="ES76" s="4"/>
      <c r="ET76" s="4"/>
      <c r="EU76" s="4"/>
      <c r="EV76" s="4"/>
      <c r="EW76" s="4"/>
      <c r="EX76" s="4"/>
      <c r="EY76" s="4"/>
      <c r="EZ76" s="4"/>
      <c r="FA76" s="4"/>
      <c r="FB76" s="4"/>
      <c r="FC76" s="4"/>
      <c r="FD76" s="4"/>
      <c r="FE76" s="4"/>
      <c r="FF76" s="4"/>
      <c r="FG76" s="4"/>
      <c r="FH76" s="4"/>
      <c r="FI76" s="4"/>
      <c r="FJ76" s="4"/>
      <c r="FK76" s="4"/>
      <c r="FL76" s="4"/>
      <c r="FM76" s="4"/>
      <c r="FN76" s="4"/>
      <c r="FO76" s="4"/>
      <c r="FP76" s="4"/>
      <c r="FQ76" s="4"/>
      <c r="FR76" s="4"/>
      <c r="FS76" s="4"/>
      <c r="FT76" s="4"/>
      <c r="FU76" s="4"/>
      <c r="FV76" s="4"/>
      <c r="FW76" s="4"/>
      <c r="FX76" s="4"/>
      <c r="FY76" s="4"/>
      <c r="FZ76" s="4"/>
      <c r="GA76" s="4"/>
      <c r="GB76" s="4"/>
      <c r="GC76" s="4"/>
      <c r="GD76" s="4"/>
      <c r="GE76" s="4"/>
      <c r="GF76" s="4"/>
      <c r="GG76" s="4"/>
      <c r="GH76" s="4"/>
      <c r="GI76" s="4"/>
      <c r="GJ76" s="4"/>
      <c r="GK76" s="4"/>
      <c r="GL76" s="4"/>
      <c r="GM76" s="4"/>
      <c r="GN76" s="4"/>
      <c r="GO76" s="4"/>
      <c r="GP76" s="4"/>
      <c r="GQ76" s="4"/>
      <c r="GR76" s="4"/>
      <c r="GS76" s="4"/>
      <c r="GT76" s="4"/>
      <c r="GU76" s="4"/>
      <c r="GV76" s="4"/>
      <c r="GW76" s="4"/>
      <c r="GX76" s="4"/>
      <c r="GY76" s="4"/>
      <c r="GZ76" s="4"/>
      <c r="HA76" s="4"/>
      <c r="HB76" s="4"/>
      <c r="HC76" s="4"/>
      <c r="HD76" s="4"/>
      <c r="HE76" s="4"/>
      <c r="HF76" s="4"/>
      <c r="HG76" s="4"/>
      <c r="HH76" s="4"/>
      <c r="HI76" s="4"/>
      <c r="HJ76" s="4"/>
      <c r="HK76" s="4"/>
      <c r="HL76" s="4"/>
      <c r="HM76" s="4"/>
      <c r="HN76" s="4"/>
      <c r="HO76" s="4"/>
      <c r="HP76" s="4"/>
      <c r="HQ76" s="4"/>
      <c r="HR76" s="4"/>
      <c r="HS76" s="4"/>
      <c r="HT76" s="4"/>
      <c r="HU76" s="4"/>
      <c r="HV76" s="4"/>
      <c r="HW76" s="4"/>
      <c r="HX76" s="4"/>
      <c r="HY76" s="4"/>
      <c r="HZ76" s="4"/>
      <c r="IA76" s="4"/>
      <c r="IB76" s="4"/>
      <c r="IC76" s="4"/>
      <c r="ID76" s="4"/>
      <c r="IE76" s="4"/>
      <c r="IF76" s="4"/>
      <c r="IG76" s="4"/>
      <c r="IH76" s="4"/>
      <c r="II76" s="4"/>
      <c r="IJ76" s="4"/>
      <c r="IK76" s="4"/>
      <c r="IL76" s="4"/>
      <c r="IM76" s="4"/>
      <c r="IN76" s="4"/>
      <c r="IO76" s="4"/>
      <c r="IP76" s="4"/>
      <c r="IQ76" s="4"/>
      <c r="IR76" s="4"/>
      <c r="IS76" s="4"/>
      <c r="IT76" s="4"/>
      <c r="IU76" s="4"/>
      <c r="IV76" s="4"/>
      <c r="IW76" s="4"/>
      <c r="IX76" s="4"/>
      <c r="IY76" s="4"/>
      <c r="IZ76" s="4"/>
      <c r="JA76" s="4"/>
      <c r="JB76" s="4"/>
      <c r="JC76" s="4"/>
      <c r="JD76" s="4"/>
      <c r="JE76" s="4"/>
      <c r="JF76" s="4"/>
      <c r="JG76" s="4"/>
      <c r="JH76" s="4"/>
      <c r="JI76" s="4"/>
      <c r="JJ76" s="4"/>
      <c r="JK76" s="4"/>
      <c r="JL76" s="4"/>
      <c r="JM76" s="4"/>
      <c r="JN76" s="4"/>
      <c r="JO76" s="4"/>
      <c r="JP76" s="4"/>
      <c r="JQ76" s="4"/>
      <c r="JR76" s="4"/>
      <c r="JS76" s="4"/>
      <c r="JT76" s="4"/>
      <c r="JU76" s="4"/>
      <c r="JV76" s="4"/>
      <c r="JW76" s="4"/>
      <c r="JX76" s="4"/>
      <c r="JY76" s="4"/>
      <c r="JZ76" s="4"/>
      <c r="KA76" s="4"/>
      <c r="KB76" s="4"/>
      <c r="KC76" s="4"/>
      <c r="KD76" s="4"/>
      <c r="KE76" s="4"/>
      <c r="KF76" s="4"/>
      <c r="KG76" s="4"/>
      <c r="KH76" s="4"/>
      <c r="KI76" s="4"/>
      <c r="KJ76" s="4"/>
      <c r="KK76" s="4"/>
      <c r="KL76" s="4"/>
      <c r="KM76" s="4"/>
      <c r="KN76" s="4"/>
      <c r="KO76" s="4"/>
      <c r="KP76" s="4"/>
      <c r="KQ76" s="4"/>
      <c r="KR76" s="4"/>
      <c r="KS76" s="4"/>
      <c r="KT76" s="4"/>
      <c r="KU76" s="4"/>
      <c r="KV76" s="4"/>
      <c r="KW76" s="4"/>
      <c r="KX76" s="4"/>
      <c r="KY76" s="4"/>
      <c r="KZ76" s="4"/>
      <c r="LA76" s="4"/>
      <c r="LB76" s="4"/>
      <c r="LC76" s="4"/>
      <c r="LD76" s="4"/>
    </row>
    <row r="77" spans="1:316" ht="28.8" x14ac:dyDescent="0.3">
      <c r="A77" s="32" t="s">
        <v>183</v>
      </c>
      <c r="B77" s="39">
        <f>IFERROR(B75/B76,"sin valor")</f>
        <v>30500.020000000004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  <c r="DX77" s="4"/>
      <c r="DY77" s="4"/>
      <c r="DZ77" s="4"/>
      <c r="EA77" s="4"/>
      <c r="EB77" s="4"/>
      <c r="EC77" s="4"/>
      <c r="ED77" s="4"/>
      <c r="EE77" s="4"/>
      <c r="EF77" s="4"/>
      <c r="EG77" s="4"/>
      <c r="EH77" s="4"/>
      <c r="EI77" s="4"/>
      <c r="EJ77" s="4"/>
      <c r="EK77" s="4"/>
      <c r="EL77" s="4"/>
      <c r="EM77" s="4"/>
      <c r="EN77" s="4"/>
      <c r="EO77" s="4"/>
      <c r="EP77" s="4"/>
      <c r="EQ77" s="4"/>
      <c r="ER77" s="4"/>
      <c r="ES77" s="4"/>
      <c r="ET77" s="4"/>
      <c r="EU77" s="4"/>
      <c r="EV77" s="4"/>
      <c r="EW77" s="4"/>
      <c r="EX77" s="4"/>
      <c r="EY77" s="4"/>
      <c r="EZ77" s="4"/>
      <c r="FA77" s="4"/>
      <c r="FB77" s="4"/>
      <c r="FC77" s="4"/>
      <c r="FD77" s="4"/>
      <c r="FE77" s="4"/>
      <c r="FF77" s="4"/>
      <c r="FG77" s="4"/>
      <c r="FH77" s="4"/>
      <c r="FI77" s="4"/>
      <c r="FJ77" s="4"/>
      <c r="FK77" s="4"/>
      <c r="FL77" s="4"/>
      <c r="FM77" s="4"/>
      <c r="FN77" s="4"/>
      <c r="FO77" s="4"/>
      <c r="FP77" s="4"/>
      <c r="FQ77" s="4"/>
      <c r="FR77" s="4"/>
      <c r="FS77" s="4"/>
      <c r="FT77" s="4"/>
      <c r="FU77" s="4"/>
      <c r="FV77" s="4"/>
      <c r="FW77" s="4"/>
      <c r="FX77" s="4"/>
      <c r="FY77" s="4"/>
      <c r="FZ77" s="4"/>
      <c r="GA77" s="4"/>
      <c r="GB77" s="4"/>
      <c r="GC77" s="4"/>
      <c r="GD77" s="4"/>
      <c r="GE77" s="4"/>
      <c r="GF77" s="4"/>
      <c r="GG77" s="4"/>
      <c r="GH77" s="4"/>
      <c r="GI77" s="4"/>
      <c r="GJ77" s="4"/>
      <c r="GK77" s="4"/>
      <c r="GL77" s="4"/>
      <c r="GM77" s="4"/>
      <c r="GN77" s="4"/>
      <c r="GO77" s="4"/>
      <c r="GP77" s="4"/>
      <c r="GQ77" s="4"/>
      <c r="GR77" s="4"/>
      <c r="GS77" s="4"/>
      <c r="GT77" s="4"/>
      <c r="GU77" s="4"/>
      <c r="GV77" s="4"/>
      <c r="GW77" s="4"/>
      <c r="GX77" s="4"/>
      <c r="GY77" s="4"/>
      <c r="GZ77" s="4"/>
      <c r="HA77" s="4"/>
      <c r="HB77" s="4"/>
      <c r="HC77" s="4"/>
      <c r="HD77" s="4"/>
      <c r="HE77" s="4"/>
      <c r="HF77" s="4"/>
      <c r="HG77" s="4"/>
      <c r="HH77" s="4"/>
      <c r="HI77" s="4"/>
      <c r="HJ77" s="4"/>
      <c r="HK77" s="4"/>
      <c r="HL77" s="4"/>
      <c r="HM77" s="4"/>
      <c r="HN77" s="4"/>
      <c r="HO77" s="4"/>
      <c r="HP77" s="4"/>
      <c r="HQ77" s="4"/>
      <c r="HR77" s="4"/>
      <c r="HS77" s="4"/>
      <c r="HT77" s="4"/>
      <c r="HU77" s="4"/>
      <c r="HV77" s="4"/>
      <c r="HW77" s="4"/>
      <c r="HX77" s="4"/>
      <c r="HY77" s="4"/>
      <c r="HZ77" s="4"/>
      <c r="IA77" s="4"/>
      <c r="IB77" s="4"/>
      <c r="IC77" s="4"/>
      <c r="ID77" s="4"/>
      <c r="IE77" s="4"/>
      <c r="IF77" s="4"/>
      <c r="IG77" s="4"/>
      <c r="IH77" s="4"/>
      <c r="II77" s="4"/>
      <c r="IJ77" s="4"/>
      <c r="IK77" s="4"/>
      <c r="IL77" s="4"/>
      <c r="IM77" s="4"/>
      <c r="IN77" s="4"/>
      <c r="IO77" s="4"/>
      <c r="IP77" s="4"/>
      <c r="IQ77" s="4"/>
      <c r="IR77" s="4"/>
      <c r="IS77" s="4"/>
      <c r="IT77" s="4"/>
      <c r="IU77" s="4"/>
      <c r="IV77" s="4"/>
      <c r="IW77" s="4"/>
      <c r="IX77" s="4"/>
      <c r="IY77" s="4"/>
      <c r="IZ77" s="4"/>
      <c r="JA77" s="4"/>
      <c r="JB77" s="4"/>
      <c r="JC77" s="4"/>
      <c r="JD77" s="4"/>
      <c r="JE77" s="4"/>
      <c r="JF77" s="4"/>
      <c r="JG77" s="4"/>
      <c r="JH77" s="4"/>
      <c r="JI77" s="4"/>
      <c r="JJ77" s="4"/>
      <c r="JK77" s="4"/>
      <c r="JL77" s="4"/>
      <c r="JM77" s="4"/>
      <c r="JN77" s="4"/>
      <c r="JO77" s="4"/>
      <c r="JP77" s="4"/>
      <c r="JQ77" s="4"/>
      <c r="JR77" s="4"/>
      <c r="JS77" s="4"/>
      <c r="JT77" s="4"/>
      <c r="JU77" s="4"/>
      <c r="JV77" s="4"/>
      <c r="JW77" s="4"/>
      <c r="JX77" s="4"/>
      <c r="JY77" s="4"/>
      <c r="JZ77" s="4"/>
      <c r="KA77" s="4"/>
      <c r="KB77" s="4"/>
      <c r="KC77" s="4"/>
      <c r="KD77" s="4"/>
      <c r="KE77" s="4"/>
      <c r="KF77" s="4"/>
      <c r="KG77" s="4"/>
      <c r="KH77" s="4"/>
      <c r="KI77" s="4"/>
      <c r="KJ77" s="4"/>
      <c r="KK77" s="4"/>
      <c r="KL77" s="4"/>
      <c r="KM77" s="4"/>
      <c r="KN77" s="4"/>
      <c r="KO77" s="4"/>
      <c r="KP77" s="4"/>
      <c r="KQ77" s="4"/>
      <c r="KR77" s="4"/>
      <c r="KS77" s="4"/>
      <c r="KT77" s="4"/>
      <c r="KU77" s="4"/>
      <c r="KV77" s="4"/>
      <c r="KW77" s="4"/>
      <c r="KX77" s="4"/>
      <c r="KY77" s="4"/>
      <c r="KZ77" s="4"/>
      <c r="LA77" s="4"/>
      <c r="LB77" s="4"/>
      <c r="LC77" s="4"/>
      <c r="LD77" s="4"/>
    </row>
    <row r="78" spans="1:316" s="15" customFormat="1" ht="15" thickBot="1" x14ac:dyDescent="0.35">
      <c r="A78" s="38" t="s">
        <v>184</v>
      </c>
      <c r="B78" s="37">
        <f>B77*(1+J5)</f>
        <v>38125.025000000009</v>
      </c>
      <c r="C78"/>
      <c r="D78"/>
      <c r="E78"/>
      <c r="F78"/>
      <c r="G78"/>
      <c r="H78"/>
      <c r="I78"/>
      <c r="J78"/>
      <c r="K78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  <c r="DX78" s="4"/>
      <c r="DY78" s="4"/>
      <c r="DZ78" s="4"/>
      <c r="EA78" s="4"/>
      <c r="EB78" s="4"/>
      <c r="EC78" s="4"/>
      <c r="ED78" s="4"/>
      <c r="EE78" s="4"/>
      <c r="EF78" s="4"/>
      <c r="EG78" s="4"/>
      <c r="EH78" s="4"/>
      <c r="EI78" s="4"/>
      <c r="EJ78" s="4"/>
      <c r="EK78" s="4"/>
      <c r="EL78" s="4"/>
      <c r="EM78" s="4"/>
      <c r="EN78" s="4"/>
      <c r="EO78" s="4"/>
      <c r="EP78" s="4"/>
      <c r="EQ78" s="4"/>
      <c r="ER78" s="4"/>
      <c r="ES78" s="4"/>
      <c r="ET78" s="4"/>
      <c r="EU78" s="4"/>
      <c r="EV78" s="4"/>
      <c r="EW78" s="4"/>
      <c r="EX78" s="4"/>
      <c r="EY78" s="4"/>
      <c r="EZ78" s="4"/>
      <c r="FA78" s="4"/>
      <c r="FB78" s="4"/>
      <c r="FC78" s="4"/>
      <c r="FD78" s="4"/>
      <c r="FE78" s="4"/>
      <c r="FF78" s="4"/>
      <c r="FG78" s="4"/>
      <c r="FH78" s="4"/>
      <c r="FI78" s="4"/>
      <c r="FJ78" s="4"/>
      <c r="FK78" s="4"/>
      <c r="FL78" s="4"/>
      <c r="FM78" s="4"/>
      <c r="FN78" s="4"/>
      <c r="FO78" s="4"/>
      <c r="FP78" s="4"/>
      <c r="FQ78" s="4"/>
      <c r="FR78" s="4"/>
      <c r="FS78" s="4"/>
      <c r="FT78" s="4"/>
      <c r="FU78" s="4"/>
      <c r="FV78" s="4"/>
      <c r="FW78" s="4"/>
      <c r="FX78" s="4"/>
      <c r="FY78" s="4"/>
      <c r="FZ78" s="4"/>
      <c r="GA78" s="4"/>
      <c r="GB78" s="4"/>
      <c r="GC78" s="4"/>
      <c r="GD78" s="4"/>
      <c r="GE78" s="4"/>
      <c r="GF78" s="4"/>
      <c r="GG78" s="4"/>
      <c r="GH78" s="4"/>
      <c r="GI78" s="4"/>
      <c r="GJ78" s="4"/>
      <c r="GK78" s="4"/>
      <c r="GL78" s="4"/>
      <c r="GM78" s="4"/>
      <c r="GN78" s="4"/>
      <c r="GO78" s="4"/>
      <c r="GP78" s="4"/>
      <c r="GQ78" s="4"/>
      <c r="GR78" s="4"/>
      <c r="GS78" s="4"/>
      <c r="GT78" s="4"/>
      <c r="GU78" s="4"/>
      <c r="GV78" s="4"/>
      <c r="GW78" s="4"/>
      <c r="GX78" s="4"/>
      <c r="GY78" s="4"/>
      <c r="GZ78" s="4"/>
      <c r="HA78" s="4"/>
      <c r="HB78" s="4"/>
      <c r="HC78" s="4"/>
      <c r="HD78" s="4"/>
      <c r="HE78" s="4"/>
      <c r="HF78" s="4"/>
      <c r="HG78" s="4"/>
      <c r="HH78" s="4"/>
      <c r="HI78" s="4"/>
      <c r="HJ78" s="4"/>
      <c r="HK78" s="4"/>
      <c r="HL78" s="4"/>
      <c r="HM78" s="4"/>
      <c r="HN78" s="4"/>
      <c r="HO78" s="4"/>
      <c r="HP78" s="4"/>
      <c r="HQ78" s="4"/>
      <c r="HR78" s="4"/>
      <c r="HS78" s="4"/>
      <c r="HT78" s="4"/>
      <c r="HU78" s="4"/>
      <c r="HV78" s="4"/>
      <c r="HW78" s="4"/>
      <c r="HX78" s="4"/>
      <c r="HY78" s="4"/>
      <c r="HZ78" s="4"/>
      <c r="IA78" s="4"/>
      <c r="IB78" s="4"/>
      <c r="IC78" s="4"/>
      <c r="ID78" s="4"/>
      <c r="IE78" s="4"/>
      <c r="IF78" s="4"/>
      <c r="IG78" s="4"/>
      <c r="IH78" s="4"/>
      <c r="II78" s="4"/>
      <c r="IJ78" s="4"/>
      <c r="IK78" s="4"/>
      <c r="IL78" s="4"/>
      <c r="IM78" s="4"/>
      <c r="IN78" s="4"/>
      <c r="IO78" s="4"/>
      <c r="IP78" s="4"/>
      <c r="IQ78" s="4"/>
      <c r="IR78" s="4"/>
      <c r="IS78" s="4"/>
      <c r="IT78" s="4"/>
      <c r="IU78" s="4"/>
      <c r="IV78" s="4"/>
      <c r="IW78" s="4"/>
      <c r="IX78" s="4"/>
      <c r="IY78" s="4"/>
      <c r="IZ78" s="4"/>
      <c r="JA78" s="4"/>
      <c r="JB78" s="4"/>
      <c r="JC78" s="4"/>
      <c r="JD78" s="4"/>
      <c r="JE78" s="4"/>
      <c r="JF78" s="4"/>
      <c r="JG78" s="4"/>
      <c r="JH78" s="4"/>
      <c r="JI78" s="4"/>
      <c r="JJ78" s="4"/>
      <c r="JK78" s="4"/>
      <c r="JL78" s="4"/>
      <c r="JM78" s="4"/>
      <c r="JN78" s="4"/>
      <c r="JO78" s="4"/>
      <c r="JP78" s="4"/>
      <c r="JQ78" s="4"/>
      <c r="JR78" s="4"/>
      <c r="JS78" s="4"/>
      <c r="JT78" s="4"/>
      <c r="JU78" s="4"/>
      <c r="JV78" s="4"/>
      <c r="JW78" s="4"/>
      <c r="JX78" s="4"/>
      <c r="JY78" s="4"/>
      <c r="JZ78" s="4"/>
      <c r="KA78" s="4"/>
      <c r="KB78" s="4"/>
      <c r="KC78" s="4"/>
      <c r="KD78" s="4"/>
      <c r="KE78" s="4"/>
      <c r="KF78" s="4"/>
      <c r="KG78" s="4"/>
      <c r="KH78" s="4"/>
      <c r="KI78" s="4"/>
      <c r="KJ78" s="4"/>
      <c r="KK78" s="4"/>
      <c r="KL78" s="4"/>
      <c r="KM78" s="4"/>
      <c r="KN78" s="4"/>
      <c r="KO78" s="4"/>
      <c r="KP78" s="4"/>
      <c r="KQ78" s="4"/>
      <c r="KR78" s="4"/>
      <c r="KS78" s="4"/>
      <c r="KT78" s="4"/>
      <c r="KU78" s="4"/>
      <c r="KV78" s="4"/>
      <c r="KW78" s="4"/>
      <c r="KX78" s="4"/>
      <c r="KY78" s="4"/>
      <c r="KZ78" s="4"/>
      <c r="LA78" s="4"/>
      <c r="LB78" s="4"/>
      <c r="LC78" s="4"/>
      <c r="LD78" s="4"/>
    </row>
    <row r="79" spans="1:316" ht="15" thickBot="1" x14ac:dyDescent="0.35">
      <c r="A79" s="3"/>
      <c r="B79" s="4"/>
      <c r="C79" s="4"/>
      <c r="D79" s="4"/>
      <c r="E79" s="4"/>
      <c r="F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  <c r="DX79" s="4"/>
      <c r="DY79" s="4"/>
      <c r="DZ79" s="4"/>
      <c r="EA79" s="4"/>
      <c r="EB79" s="4"/>
      <c r="EC79" s="4"/>
      <c r="ED79" s="4"/>
      <c r="EE79" s="4"/>
      <c r="EF79" s="4"/>
      <c r="EG79" s="4"/>
      <c r="EH79" s="4"/>
      <c r="EI79" s="4"/>
      <c r="EJ79" s="4"/>
      <c r="EK79" s="4"/>
      <c r="EL79" s="4"/>
      <c r="EM79" s="4"/>
      <c r="EN79" s="4"/>
      <c r="EO79" s="4"/>
      <c r="EP79" s="4"/>
      <c r="EQ79" s="4"/>
      <c r="ER79" s="4"/>
      <c r="ES79" s="4"/>
      <c r="ET79" s="4"/>
      <c r="EU79" s="4"/>
      <c r="EV79" s="4"/>
      <c r="EW79" s="4"/>
      <c r="EX79" s="4"/>
      <c r="EY79" s="4"/>
      <c r="EZ79" s="4"/>
      <c r="FA79" s="4"/>
      <c r="FB79" s="4"/>
      <c r="FC79" s="4"/>
      <c r="FD79" s="4"/>
      <c r="FE79" s="4"/>
      <c r="FF79" s="4"/>
      <c r="FG79" s="4"/>
      <c r="FH79" s="4"/>
      <c r="FI79" s="4"/>
      <c r="FJ79" s="4"/>
      <c r="FK79" s="4"/>
      <c r="FL79" s="4"/>
      <c r="FM79" s="4"/>
      <c r="FN79" s="4"/>
      <c r="FO79" s="4"/>
      <c r="FP79" s="4"/>
      <c r="FQ79" s="4"/>
      <c r="FR79" s="4"/>
      <c r="FS79" s="4"/>
      <c r="FT79" s="4"/>
      <c r="FU79" s="4"/>
      <c r="FV79" s="4"/>
      <c r="FW79" s="4"/>
      <c r="FX79" s="4"/>
      <c r="FY79" s="4"/>
      <c r="FZ79" s="4"/>
      <c r="GA79" s="4"/>
      <c r="GB79" s="4"/>
      <c r="GC79" s="4"/>
      <c r="GD79" s="4"/>
      <c r="GE79" s="4"/>
      <c r="GF79" s="4"/>
      <c r="GG79" s="4"/>
      <c r="GH79" s="4"/>
      <c r="GI79" s="4"/>
      <c r="GJ79" s="4"/>
      <c r="GK79" s="4"/>
      <c r="GL79" s="4"/>
      <c r="GM79" s="4"/>
      <c r="GN79" s="4"/>
      <c r="GO79" s="4"/>
      <c r="GP79" s="4"/>
      <c r="GQ79" s="4"/>
      <c r="GR79" s="4"/>
      <c r="GS79" s="4"/>
      <c r="GT79" s="4"/>
      <c r="GU79" s="4"/>
      <c r="GV79" s="4"/>
      <c r="GW79" s="4"/>
      <c r="GX79" s="4"/>
      <c r="GY79" s="4"/>
      <c r="GZ79" s="4"/>
      <c r="HA79" s="4"/>
      <c r="HB79" s="4"/>
      <c r="HC79" s="4"/>
      <c r="HD79" s="4"/>
      <c r="HE79" s="4"/>
      <c r="HF79" s="4"/>
      <c r="HG79" s="4"/>
      <c r="HH79" s="4"/>
      <c r="HI79" s="4"/>
      <c r="HJ79" s="4"/>
      <c r="HK79" s="4"/>
      <c r="HL79" s="4"/>
      <c r="HM79" s="4"/>
      <c r="HN79" s="4"/>
      <c r="HO79" s="4"/>
      <c r="HP79" s="4"/>
      <c r="HQ79" s="4"/>
      <c r="HR79" s="4"/>
      <c r="HS79" s="4"/>
      <c r="HT79" s="4"/>
      <c r="HU79" s="4"/>
      <c r="HV79" s="4"/>
      <c r="HW79" s="4"/>
      <c r="HX79" s="4"/>
      <c r="HY79" s="4"/>
      <c r="HZ79" s="4"/>
      <c r="IA79" s="4"/>
      <c r="IB79" s="4"/>
      <c r="IC79" s="4"/>
      <c r="ID79" s="4"/>
      <c r="IE79" s="4"/>
      <c r="IF79" s="4"/>
      <c r="IG79" s="4"/>
      <c r="IH79" s="4"/>
      <c r="II79" s="4"/>
      <c r="IJ79" s="4"/>
      <c r="IK79" s="4"/>
      <c r="IL79" s="4"/>
      <c r="IM79" s="4"/>
      <c r="IN79" s="4"/>
      <c r="IO79" s="4"/>
      <c r="IP79" s="4"/>
      <c r="IQ79" s="4"/>
      <c r="IR79" s="4"/>
      <c r="IS79" s="4"/>
      <c r="IT79" s="4"/>
      <c r="IU79" s="4"/>
      <c r="IV79" s="4"/>
      <c r="IW79" s="4"/>
      <c r="IX79" s="4"/>
      <c r="IY79" s="4"/>
      <c r="IZ79" s="4"/>
      <c r="JA79" s="4"/>
      <c r="JB79" s="4"/>
      <c r="JC79" s="4"/>
      <c r="JD79" s="4"/>
      <c r="JE79" s="4"/>
      <c r="JF79" s="4"/>
      <c r="JG79" s="4"/>
      <c r="JH79" s="4"/>
      <c r="JI79" s="4"/>
      <c r="JJ79" s="4"/>
      <c r="JK79" s="4"/>
      <c r="JL79" s="4"/>
      <c r="JM79" s="4"/>
      <c r="JN79" s="4"/>
      <c r="JO79" s="4"/>
      <c r="JP79" s="4"/>
      <c r="JQ79" s="4"/>
      <c r="JR79" s="4"/>
      <c r="JS79" s="4"/>
      <c r="JT79" s="4"/>
      <c r="JU79" s="4"/>
      <c r="JV79" s="4"/>
      <c r="JW79" s="4"/>
      <c r="JX79" s="4"/>
      <c r="JY79" s="4"/>
      <c r="JZ79" s="4"/>
      <c r="KA79" s="4"/>
      <c r="KB79" s="4"/>
      <c r="KC79" s="4"/>
      <c r="KD79" s="4"/>
      <c r="KE79" s="4"/>
      <c r="KF79" s="4"/>
      <c r="KG79" s="4"/>
      <c r="KH79" s="4"/>
      <c r="KI79" s="4"/>
      <c r="KJ79" s="4"/>
      <c r="KK79" s="4"/>
      <c r="KL79" s="4"/>
      <c r="KM79" s="4"/>
      <c r="KN79" s="4"/>
      <c r="KO79" s="4"/>
      <c r="KP79" s="4"/>
      <c r="KQ79" s="4"/>
      <c r="KR79" s="4"/>
      <c r="KS79" s="4"/>
      <c r="KT79" s="4"/>
      <c r="KU79" s="4"/>
      <c r="KV79" s="4"/>
      <c r="KW79" s="4"/>
      <c r="KX79" s="4"/>
      <c r="KY79" s="4"/>
      <c r="KZ79" s="4"/>
      <c r="LA79" s="4"/>
      <c r="LB79" s="4"/>
      <c r="LC79" s="4"/>
      <c r="LD79" s="4"/>
    </row>
    <row r="80" spans="1:316" s="15" customFormat="1" ht="43.2" x14ac:dyDescent="0.3">
      <c r="A80" s="36" t="s">
        <v>117</v>
      </c>
      <c r="B80" s="34" t="s">
        <v>185</v>
      </c>
      <c r="C80" s="35" t="s">
        <v>186</v>
      </c>
      <c r="D80" s="35" t="s">
        <v>187</v>
      </c>
      <c r="E80" s="34" t="s">
        <v>188</v>
      </c>
      <c r="F80" s="33" t="s">
        <v>189</v>
      </c>
      <c r="G80"/>
      <c r="H80"/>
      <c r="I80"/>
      <c r="J80"/>
      <c r="K80"/>
      <c r="L80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  <c r="DX80" s="4"/>
      <c r="DY80" s="4"/>
      <c r="DZ80" s="4"/>
      <c r="EA80" s="4"/>
      <c r="EB80" s="4"/>
      <c r="EC80" s="4"/>
      <c r="ED80" s="4"/>
      <c r="EE80" s="4"/>
      <c r="EF80" s="4"/>
      <c r="EG80" s="4"/>
      <c r="EH80" s="4"/>
      <c r="EI80" s="4"/>
      <c r="EJ80" s="4"/>
      <c r="EK80" s="4"/>
      <c r="EL80" s="4"/>
      <c r="EM80" s="4"/>
      <c r="EN80" s="4"/>
      <c r="EO80" s="4"/>
      <c r="EP80" s="4"/>
      <c r="EQ80" s="4"/>
      <c r="ER80" s="4"/>
      <c r="ES80" s="4"/>
      <c r="ET80" s="4"/>
      <c r="EU80" s="4"/>
      <c r="EV80" s="4"/>
      <c r="EW80" s="4"/>
      <c r="EX80" s="4"/>
      <c r="EY80" s="4"/>
      <c r="EZ80" s="4"/>
      <c r="FA80" s="4"/>
      <c r="FB80" s="4"/>
      <c r="FC80" s="4"/>
      <c r="FD80" s="4"/>
      <c r="FE80" s="4"/>
      <c r="FF80" s="4"/>
      <c r="FG80" s="4"/>
      <c r="FH80" s="4"/>
      <c r="FI80" s="4"/>
      <c r="FJ80" s="4"/>
      <c r="FK80" s="4"/>
      <c r="FL80" s="4"/>
      <c r="FM80" s="4"/>
      <c r="FN80" s="4"/>
      <c r="FO80" s="4"/>
      <c r="FP80" s="4"/>
      <c r="FQ80" s="4"/>
      <c r="FR80" s="4"/>
      <c r="FS80" s="4"/>
      <c r="FT80" s="4"/>
      <c r="FU80" s="4"/>
      <c r="FV80" s="4"/>
      <c r="FW80" s="4"/>
      <c r="FX80" s="4"/>
      <c r="FY80" s="4"/>
      <c r="FZ80" s="4"/>
      <c r="GA80" s="4"/>
      <c r="GB80" s="4"/>
      <c r="GC80" s="4"/>
      <c r="GD80" s="4"/>
      <c r="GE80" s="4"/>
      <c r="GF80" s="4"/>
      <c r="GG80" s="4"/>
      <c r="GH80" s="4"/>
      <c r="GI80" s="4"/>
      <c r="GJ80" s="4"/>
      <c r="GK80" s="4"/>
      <c r="GL80" s="4"/>
      <c r="GM80" s="4"/>
      <c r="GN80" s="4"/>
      <c r="GO80" s="4"/>
      <c r="GP80" s="4"/>
      <c r="GQ80" s="4"/>
      <c r="GR80" s="4"/>
      <c r="GS80" s="4"/>
      <c r="GT80" s="4"/>
      <c r="GU80" s="4"/>
      <c r="GV80" s="4"/>
      <c r="GW80" s="4"/>
      <c r="GX80" s="4"/>
      <c r="GY80" s="4"/>
      <c r="GZ80" s="4"/>
      <c r="HA80" s="4"/>
      <c r="HB80" s="4"/>
      <c r="HC80" s="4"/>
      <c r="HD80" s="4"/>
      <c r="HE80" s="4"/>
      <c r="HF80" s="4"/>
      <c r="HG80" s="4"/>
      <c r="HH80" s="4"/>
      <c r="HI80" s="4"/>
      <c r="HJ80" s="4"/>
      <c r="HK80" s="4"/>
      <c r="HL80" s="4"/>
      <c r="HM80" s="4"/>
      <c r="HN80" s="4"/>
      <c r="HO80" s="4"/>
      <c r="HP80" s="4"/>
      <c r="HQ80" s="4"/>
      <c r="HR80" s="4"/>
      <c r="HS80" s="4"/>
      <c r="HT80" s="4"/>
      <c r="HU80" s="4"/>
      <c r="HV80" s="4"/>
      <c r="HW80" s="4"/>
      <c r="HX80" s="4"/>
      <c r="HY80" s="4"/>
      <c r="HZ80" s="4"/>
      <c r="IA80" s="4"/>
      <c r="IB80" s="4"/>
      <c r="IC80" s="4"/>
      <c r="ID80" s="4"/>
      <c r="IE80" s="4"/>
      <c r="IF80" s="4"/>
      <c r="IG80" s="4"/>
      <c r="IH80" s="4"/>
      <c r="II80" s="4"/>
      <c r="IJ80" s="4"/>
      <c r="IK80" s="4"/>
      <c r="IL80" s="4"/>
      <c r="IM80" s="4"/>
      <c r="IN80" s="4"/>
      <c r="IO80" s="4"/>
      <c r="IP80" s="4"/>
      <c r="IQ80" s="4"/>
      <c r="IR80" s="4"/>
      <c r="IS80" s="4"/>
      <c r="IT80" s="4"/>
      <c r="IU80" s="4"/>
      <c r="IV80" s="4"/>
      <c r="IW80" s="4"/>
      <c r="IX80" s="4"/>
      <c r="IY80" s="4"/>
      <c r="IZ80" s="4"/>
      <c r="JA80" s="4"/>
      <c r="JB80" s="4"/>
      <c r="JC80" s="4"/>
      <c r="JD80" s="4"/>
      <c r="JE80" s="4"/>
      <c r="JF80" s="4"/>
      <c r="JG80" s="4"/>
      <c r="JH80" s="4"/>
      <c r="JI80" s="4"/>
      <c r="JJ80" s="4"/>
      <c r="JK80" s="4"/>
      <c r="JL80" s="4"/>
      <c r="JM80" s="4"/>
      <c r="JN80" s="4"/>
      <c r="JO80" s="4"/>
      <c r="JP80" s="4"/>
      <c r="JQ80" s="4"/>
      <c r="JR80" s="4"/>
      <c r="JS80" s="4"/>
      <c r="JT80" s="4"/>
      <c r="JU80" s="4"/>
      <c r="JV80" s="4"/>
      <c r="JW80" s="4"/>
      <c r="JX80" s="4"/>
      <c r="JY80" s="4"/>
      <c r="JZ80" s="4"/>
      <c r="KA80" s="4"/>
      <c r="KB80" s="4"/>
      <c r="KC80" s="4"/>
      <c r="KD80" s="4"/>
      <c r="KE80" s="4"/>
      <c r="KF80" s="4"/>
      <c r="KG80" s="4"/>
      <c r="KH80" s="4"/>
      <c r="KI80" s="4"/>
      <c r="KJ80" s="4"/>
      <c r="KK80" s="4"/>
      <c r="KL80" s="4"/>
      <c r="KM80" s="4"/>
      <c r="KN80" s="4"/>
      <c r="KO80" s="4"/>
      <c r="KP80" s="4"/>
      <c r="KQ80" s="4"/>
      <c r="KR80" s="4"/>
      <c r="KS80" s="4"/>
      <c r="KT80" s="4"/>
      <c r="KU80" s="4"/>
      <c r="KV80" s="4"/>
      <c r="KW80" s="4"/>
      <c r="KX80" s="4"/>
      <c r="KY80" s="4"/>
      <c r="KZ80" s="4"/>
      <c r="LA80" s="4"/>
      <c r="LB80" s="4"/>
      <c r="LC80" s="4"/>
      <c r="LD80" s="4"/>
    </row>
    <row r="81" spans="1:316" x14ac:dyDescent="0.3">
      <c r="A81" s="32" t="s">
        <v>118</v>
      </c>
      <c r="B81" s="31">
        <f t="shared" ref="B81:B89" si="10">IFERROR($D15/$D64,0)</f>
        <v>0</v>
      </c>
      <c r="C81" s="31">
        <f t="shared" ref="C81:C89" si="11">IFERROR(($D15+$B$78)/$D64,0)</f>
        <v>0</v>
      </c>
      <c r="D81" s="4">
        <f t="shared" ref="D81:D89" si="12">E64</f>
        <v>0</v>
      </c>
      <c r="E81" s="30">
        <f t="shared" ref="E81:E89" si="13">D81*C81</f>
        <v>0</v>
      </c>
      <c r="F81" s="20">
        <f>IFERROR(($D15+$B$78)/$D64,0)</f>
        <v>0</v>
      </c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  <c r="EB81" s="4"/>
      <c r="EC81" s="4"/>
      <c r="ED81" s="4"/>
      <c r="EE81" s="4"/>
      <c r="EF81" s="4"/>
      <c r="EG81" s="4"/>
      <c r="EH81" s="4"/>
      <c r="EI81" s="4"/>
      <c r="EJ81" s="4"/>
      <c r="EK81" s="4"/>
      <c r="EL81" s="4"/>
      <c r="EM81" s="4"/>
      <c r="EN81" s="4"/>
      <c r="EO81" s="4"/>
      <c r="EP81" s="4"/>
      <c r="EQ81" s="4"/>
      <c r="ER81" s="4"/>
      <c r="ES81" s="4"/>
      <c r="ET81" s="4"/>
      <c r="EU81" s="4"/>
      <c r="EV81" s="4"/>
      <c r="EW81" s="4"/>
      <c r="EX81" s="4"/>
      <c r="EY81" s="4"/>
      <c r="EZ81" s="4"/>
      <c r="FA81" s="4"/>
      <c r="FB81" s="4"/>
      <c r="FC81" s="4"/>
      <c r="FD81" s="4"/>
      <c r="FE81" s="4"/>
      <c r="FF81" s="4"/>
      <c r="FG81" s="4"/>
      <c r="FH81" s="4"/>
      <c r="FI81" s="4"/>
      <c r="FJ81" s="4"/>
      <c r="FK81" s="4"/>
      <c r="FL81" s="4"/>
      <c r="FM81" s="4"/>
      <c r="FN81" s="4"/>
      <c r="FO81" s="4"/>
      <c r="FP81" s="4"/>
      <c r="FQ81" s="4"/>
      <c r="FR81" s="4"/>
      <c r="FS81" s="4"/>
      <c r="FT81" s="4"/>
      <c r="FU81" s="4"/>
      <c r="FV81" s="4"/>
      <c r="FW81" s="4"/>
      <c r="FX81" s="4"/>
      <c r="FY81" s="4"/>
      <c r="FZ81" s="4"/>
      <c r="GA81" s="4"/>
      <c r="GB81" s="4"/>
      <c r="GC81" s="4"/>
      <c r="GD81" s="4"/>
      <c r="GE81" s="4"/>
      <c r="GF81" s="4"/>
      <c r="GG81" s="4"/>
      <c r="GH81" s="4"/>
      <c r="GI81" s="4"/>
      <c r="GJ81" s="4"/>
      <c r="GK81" s="4"/>
      <c r="GL81" s="4"/>
      <c r="GM81" s="4"/>
      <c r="GN81" s="4"/>
      <c r="GO81" s="4"/>
      <c r="GP81" s="4"/>
      <c r="GQ81" s="4"/>
      <c r="GR81" s="4"/>
      <c r="GS81" s="4"/>
      <c r="GT81" s="4"/>
      <c r="GU81" s="4"/>
      <c r="GV81" s="4"/>
      <c r="GW81" s="4"/>
      <c r="GX81" s="4"/>
      <c r="GY81" s="4"/>
      <c r="GZ81" s="4"/>
      <c r="HA81" s="4"/>
      <c r="HB81" s="4"/>
      <c r="HC81" s="4"/>
      <c r="HD81" s="4"/>
      <c r="HE81" s="4"/>
      <c r="HF81" s="4"/>
      <c r="HG81" s="4"/>
      <c r="HH81" s="4"/>
      <c r="HI81" s="4"/>
      <c r="HJ81" s="4"/>
      <c r="HK81" s="4"/>
      <c r="HL81" s="4"/>
      <c r="HM81" s="4"/>
      <c r="HN81" s="4"/>
      <c r="HO81" s="4"/>
      <c r="HP81" s="4"/>
      <c r="HQ81" s="4"/>
      <c r="HR81" s="4"/>
      <c r="HS81" s="4"/>
      <c r="HT81" s="4"/>
      <c r="HU81" s="4"/>
      <c r="HV81" s="4"/>
      <c r="HW81" s="4"/>
      <c r="HX81" s="4"/>
      <c r="HY81" s="4"/>
      <c r="HZ81" s="4"/>
      <c r="IA81" s="4"/>
      <c r="IB81" s="4"/>
      <c r="IC81" s="4"/>
      <c r="ID81" s="4"/>
      <c r="IE81" s="4"/>
      <c r="IF81" s="4"/>
      <c r="IG81" s="4"/>
      <c r="IH81" s="4"/>
      <c r="II81" s="4"/>
      <c r="IJ81" s="4"/>
      <c r="IK81" s="4"/>
      <c r="IL81" s="4"/>
      <c r="IM81" s="4"/>
      <c r="IN81" s="4"/>
      <c r="IO81" s="4"/>
      <c r="IP81" s="4"/>
      <c r="IQ81" s="4"/>
      <c r="IR81" s="4"/>
      <c r="IS81" s="4"/>
      <c r="IT81" s="4"/>
      <c r="IU81" s="4"/>
      <c r="IV81" s="4"/>
      <c r="IW81" s="4"/>
      <c r="IX81" s="4"/>
      <c r="IY81" s="4"/>
      <c r="IZ81" s="4"/>
      <c r="JA81" s="4"/>
      <c r="JB81" s="4"/>
      <c r="JC81" s="4"/>
      <c r="JD81" s="4"/>
      <c r="JE81" s="4"/>
      <c r="JF81" s="4"/>
      <c r="JG81" s="4"/>
      <c r="JH81" s="4"/>
      <c r="JI81" s="4"/>
      <c r="JJ81" s="4"/>
      <c r="JK81" s="4"/>
      <c r="JL81" s="4"/>
      <c r="JM81" s="4"/>
      <c r="JN81" s="4"/>
      <c r="JO81" s="4"/>
      <c r="JP81" s="4"/>
      <c r="JQ81" s="4"/>
      <c r="JR81" s="4"/>
      <c r="JS81" s="4"/>
      <c r="JT81" s="4"/>
      <c r="JU81" s="4"/>
      <c r="JV81" s="4"/>
      <c r="JW81" s="4"/>
      <c r="JX81" s="4"/>
      <c r="JY81" s="4"/>
      <c r="JZ81" s="4"/>
      <c r="KA81" s="4"/>
      <c r="KB81" s="4"/>
      <c r="KC81" s="4"/>
      <c r="KD81" s="4"/>
      <c r="KE81" s="4"/>
      <c r="KF81" s="4"/>
      <c r="KG81" s="4"/>
      <c r="KH81" s="4"/>
      <c r="KI81" s="4"/>
      <c r="KJ81" s="4"/>
      <c r="KK81" s="4"/>
      <c r="KL81" s="4"/>
      <c r="KM81" s="4"/>
      <c r="KN81" s="4"/>
      <c r="KO81" s="4"/>
      <c r="KP81" s="4"/>
      <c r="KQ81" s="4"/>
      <c r="KR81" s="4"/>
      <c r="KS81" s="4"/>
      <c r="KT81" s="4"/>
      <c r="KU81" s="4"/>
      <c r="KV81" s="4"/>
      <c r="KW81" s="4"/>
      <c r="KX81" s="4"/>
      <c r="KY81" s="4"/>
      <c r="KZ81" s="4"/>
      <c r="LA81" s="4"/>
      <c r="LB81" s="4"/>
      <c r="LC81" s="4"/>
      <c r="LD81" s="4"/>
    </row>
    <row r="82" spans="1:316" s="15" customFormat="1" x14ac:dyDescent="0.3">
      <c r="A82" s="29" t="s">
        <v>104</v>
      </c>
      <c r="B82" s="28">
        <f t="shared" si="10"/>
        <v>26.414043824701196</v>
      </c>
      <c r="C82" s="28">
        <f t="shared" si="11"/>
        <v>55.624145724793138</v>
      </c>
      <c r="D82" s="27">
        <f t="shared" si="12"/>
        <v>1305.2</v>
      </c>
      <c r="E82" s="26">
        <f t="shared" si="13"/>
        <v>72600.635000000009</v>
      </c>
      <c r="F82" s="25">
        <f t="shared" ref="F82:F89" si="14">IFERROR(($D16+$B$77)/$D65,0)</f>
        <v>49.782125344774748</v>
      </c>
      <c r="G82"/>
      <c r="H82"/>
      <c r="I82"/>
      <c r="J82"/>
      <c r="K82"/>
      <c r="L82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  <c r="DX82" s="4"/>
      <c r="DY82" s="4"/>
      <c r="DZ82" s="4"/>
      <c r="EA82" s="4"/>
      <c r="EB82" s="4"/>
      <c r="EC82" s="4"/>
      <c r="ED82" s="4"/>
      <c r="EE82" s="4"/>
      <c r="EF82" s="4"/>
      <c r="EG82" s="4"/>
      <c r="EH82" s="4"/>
      <c r="EI82" s="4"/>
      <c r="EJ82" s="4"/>
      <c r="EK82" s="4"/>
      <c r="EL82" s="4"/>
      <c r="EM82" s="4"/>
      <c r="EN82" s="4"/>
      <c r="EO82" s="4"/>
      <c r="EP82" s="4"/>
      <c r="EQ82" s="4"/>
      <c r="ER82" s="4"/>
      <c r="ES82" s="4"/>
      <c r="ET82" s="4"/>
      <c r="EU82" s="4"/>
      <c r="EV82" s="4"/>
      <c r="EW82" s="4"/>
      <c r="EX82" s="4"/>
      <c r="EY82" s="4"/>
      <c r="EZ82" s="4"/>
      <c r="FA82" s="4"/>
      <c r="FB82" s="4"/>
      <c r="FC82" s="4"/>
      <c r="FD82" s="4"/>
      <c r="FE82" s="4"/>
      <c r="FF82" s="4"/>
      <c r="FG82" s="4"/>
      <c r="FH82" s="4"/>
      <c r="FI82" s="4"/>
      <c r="FJ82" s="4"/>
      <c r="FK82" s="4"/>
      <c r="FL82" s="4"/>
      <c r="FM82" s="4"/>
      <c r="FN82" s="4"/>
      <c r="FO82" s="4"/>
      <c r="FP82" s="4"/>
      <c r="FQ82" s="4"/>
      <c r="FR82" s="4"/>
      <c r="FS82" s="4"/>
      <c r="FT82" s="4"/>
      <c r="FU82" s="4"/>
      <c r="FV82" s="4"/>
      <c r="FW82" s="4"/>
      <c r="FX82" s="4"/>
      <c r="FY82" s="4"/>
      <c r="FZ82" s="4"/>
      <c r="GA82" s="4"/>
      <c r="GB82" s="4"/>
      <c r="GC82" s="4"/>
      <c r="GD82" s="4"/>
      <c r="GE82" s="4"/>
      <c r="GF82" s="4"/>
      <c r="GG82" s="4"/>
      <c r="GH82" s="4"/>
      <c r="GI82" s="4"/>
      <c r="GJ82" s="4"/>
      <c r="GK82" s="4"/>
      <c r="GL82" s="4"/>
      <c r="GM82" s="4"/>
      <c r="GN82" s="4"/>
      <c r="GO82" s="4"/>
      <c r="GP82" s="4"/>
      <c r="GQ82" s="4"/>
      <c r="GR82" s="4"/>
      <c r="GS82" s="4"/>
      <c r="GT82" s="4"/>
      <c r="GU82" s="4"/>
      <c r="GV82" s="4"/>
      <c r="GW82" s="4"/>
      <c r="GX82" s="4"/>
      <c r="GY82" s="4"/>
      <c r="GZ82" s="4"/>
      <c r="HA82" s="4"/>
      <c r="HB82" s="4"/>
      <c r="HC82" s="4"/>
      <c r="HD82" s="4"/>
      <c r="HE82" s="4"/>
      <c r="HF82" s="4"/>
      <c r="HG82" s="4"/>
      <c r="HH82" s="4"/>
      <c r="HI82" s="4"/>
      <c r="HJ82" s="4"/>
      <c r="HK82" s="4"/>
      <c r="HL82" s="4"/>
      <c r="HM82" s="4"/>
      <c r="HN82" s="4"/>
      <c r="HO82" s="4"/>
      <c r="HP82" s="4"/>
      <c r="HQ82" s="4"/>
      <c r="HR82" s="4"/>
      <c r="HS82" s="4"/>
      <c r="HT82" s="4"/>
      <c r="HU82" s="4"/>
      <c r="HV82" s="4"/>
      <c r="HW82" s="4"/>
      <c r="HX82" s="4"/>
      <c r="HY82" s="4"/>
      <c r="HZ82" s="4"/>
      <c r="IA82" s="4"/>
      <c r="IB82" s="4"/>
      <c r="IC82" s="4"/>
      <c r="ID82" s="4"/>
      <c r="IE82" s="4"/>
      <c r="IF82" s="4"/>
      <c r="IG82" s="4"/>
      <c r="IH82" s="4"/>
      <c r="II82" s="4"/>
      <c r="IJ82" s="4"/>
      <c r="IK82" s="4"/>
      <c r="IL82" s="4"/>
      <c r="IM82" s="4"/>
      <c r="IN82" s="4"/>
      <c r="IO82" s="4"/>
      <c r="IP82" s="4"/>
      <c r="IQ82" s="4"/>
      <c r="IR82" s="4"/>
      <c r="IS82" s="4"/>
      <c r="IT82" s="4"/>
      <c r="IU82" s="4"/>
      <c r="IV82" s="4"/>
      <c r="IW82" s="4"/>
      <c r="IX82" s="4"/>
      <c r="IY82" s="4"/>
      <c r="IZ82" s="4"/>
      <c r="JA82" s="4"/>
      <c r="JB82" s="4"/>
      <c r="JC82" s="4"/>
      <c r="JD82" s="4"/>
      <c r="JE82" s="4"/>
      <c r="JF82" s="4"/>
      <c r="JG82" s="4"/>
      <c r="JH82" s="4"/>
      <c r="JI82" s="4"/>
      <c r="JJ82" s="4"/>
      <c r="JK82" s="4"/>
      <c r="JL82" s="4"/>
      <c r="JM82" s="4"/>
      <c r="JN82" s="4"/>
      <c r="JO82" s="4"/>
      <c r="JP82" s="4"/>
      <c r="JQ82" s="4"/>
      <c r="JR82" s="4"/>
      <c r="JS82" s="4"/>
      <c r="JT82" s="4"/>
      <c r="JU82" s="4"/>
      <c r="JV82" s="4"/>
      <c r="JW82" s="4"/>
      <c r="JX82" s="4"/>
      <c r="JY82" s="4"/>
      <c r="JZ82" s="4"/>
      <c r="KA82" s="4"/>
      <c r="KB82" s="4"/>
      <c r="KC82" s="4"/>
      <c r="KD82" s="4"/>
      <c r="KE82" s="4"/>
      <c r="KF82" s="4"/>
      <c r="KG82" s="4"/>
      <c r="KH82" s="4"/>
      <c r="KI82" s="4"/>
      <c r="KJ82" s="4"/>
      <c r="KK82" s="4"/>
      <c r="KL82" s="4"/>
      <c r="KM82" s="4"/>
      <c r="KN82" s="4"/>
      <c r="KO82" s="4"/>
      <c r="KP82" s="4"/>
      <c r="KQ82" s="4"/>
      <c r="KR82" s="4"/>
      <c r="KS82" s="4"/>
      <c r="KT82" s="4"/>
      <c r="KU82" s="4"/>
      <c r="KV82" s="4"/>
      <c r="KW82" s="4"/>
      <c r="KX82" s="4"/>
      <c r="KY82" s="4"/>
      <c r="KZ82" s="4"/>
      <c r="LA82" s="4"/>
      <c r="LB82" s="4"/>
      <c r="LC82" s="4"/>
      <c r="LD82" s="4"/>
    </row>
    <row r="83" spans="1:316" x14ac:dyDescent="0.3">
      <c r="A83" s="32" t="s">
        <v>119</v>
      </c>
      <c r="B83" s="31">
        <f t="shared" si="10"/>
        <v>16.372798804780878</v>
      </c>
      <c r="C83" s="31">
        <f t="shared" si="11"/>
        <v>54.345931274900408</v>
      </c>
      <c r="D83" s="4">
        <f t="shared" si="12"/>
        <v>1004</v>
      </c>
      <c r="E83" s="30">
        <f t="shared" si="13"/>
        <v>54563.31500000001</v>
      </c>
      <c r="F83" s="20">
        <f t="shared" si="14"/>
        <v>46.751304780876502</v>
      </c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  <c r="DX83" s="4"/>
      <c r="DY83" s="4"/>
      <c r="DZ83" s="4"/>
      <c r="EA83" s="4"/>
      <c r="EB83" s="4"/>
      <c r="EC83" s="4"/>
      <c r="ED83" s="4"/>
      <c r="EE83" s="4"/>
      <c r="EF83" s="4"/>
      <c r="EG83" s="4"/>
      <c r="EH83" s="4"/>
      <c r="EI83" s="4"/>
      <c r="EJ83" s="4"/>
      <c r="EK83" s="4"/>
      <c r="EL83" s="4"/>
      <c r="EM83" s="4"/>
      <c r="EN83" s="4"/>
      <c r="EO83" s="4"/>
      <c r="EP83" s="4"/>
      <c r="EQ83" s="4"/>
      <c r="ER83" s="4"/>
      <c r="ES83" s="4"/>
      <c r="ET83" s="4"/>
      <c r="EU83" s="4"/>
      <c r="EV83" s="4"/>
      <c r="EW83" s="4"/>
      <c r="EX83" s="4"/>
      <c r="EY83" s="4"/>
      <c r="EZ83" s="4"/>
      <c r="FA83" s="4"/>
      <c r="FB83" s="4"/>
      <c r="FC83" s="4"/>
      <c r="FD83" s="4"/>
      <c r="FE83" s="4"/>
      <c r="FF83" s="4"/>
      <c r="FG83" s="4"/>
      <c r="FH83" s="4"/>
      <c r="FI83" s="4"/>
      <c r="FJ83" s="4"/>
      <c r="FK83" s="4"/>
      <c r="FL83" s="4"/>
      <c r="FM83" s="4"/>
      <c r="FN83" s="4"/>
      <c r="FO83" s="4"/>
      <c r="FP83" s="4"/>
      <c r="FQ83" s="4"/>
      <c r="FR83" s="4"/>
      <c r="FS83" s="4"/>
      <c r="FT83" s="4"/>
      <c r="FU83" s="4"/>
      <c r="FV83" s="4"/>
      <c r="FW83" s="4"/>
      <c r="FX83" s="4"/>
      <c r="FY83" s="4"/>
      <c r="FZ83" s="4"/>
      <c r="GA83" s="4"/>
      <c r="GB83" s="4"/>
      <c r="GC83" s="4"/>
      <c r="GD83" s="4"/>
      <c r="GE83" s="4"/>
      <c r="GF83" s="4"/>
      <c r="GG83" s="4"/>
      <c r="GH83" s="4"/>
      <c r="GI83" s="4"/>
      <c r="GJ83" s="4"/>
      <c r="GK83" s="4"/>
      <c r="GL83" s="4"/>
      <c r="GM83" s="4"/>
      <c r="GN83" s="4"/>
      <c r="GO83" s="4"/>
      <c r="GP83" s="4"/>
      <c r="GQ83" s="4"/>
      <c r="GR83" s="4"/>
      <c r="GS83" s="4"/>
      <c r="GT83" s="4"/>
      <c r="GU83" s="4"/>
      <c r="GV83" s="4"/>
      <c r="GW83" s="4"/>
      <c r="GX83" s="4"/>
      <c r="GY83" s="4"/>
      <c r="GZ83" s="4"/>
      <c r="HA83" s="4"/>
      <c r="HB83" s="4"/>
      <c r="HC83" s="4"/>
      <c r="HD83" s="4"/>
      <c r="HE83" s="4"/>
      <c r="HF83" s="4"/>
      <c r="HG83" s="4"/>
      <c r="HH83" s="4"/>
      <c r="HI83" s="4"/>
      <c r="HJ83" s="4"/>
      <c r="HK83" s="4"/>
      <c r="HL83" s="4"/>
      <c r="HM83" s="4"/>
      <c r="HN83" s="4"/>
      <c r="HO83" s="4"/>
      <c r="HP83" s="4"/>
      <c r="HQ83" s="4"/>
      <c r="HR83" s="4"/>
      <c r="HS83" s="4"/>
      <c r="HT83" s="4"/>
      <c r="HU83" s="4"/>
      <c r="HV83" s="4"/>
      <c r="HW83" s="4"/>
      <c r="HX83" s="4"/>
      <c r="HY83" s="4"/>
      <c r="HZ83" s="4"/>
      <c r="IA83" s="4"/>
      <c r="IB83" s="4"/>
      <c r="IC83" s="4"/>
      <c r="ID83" s="4"/>
      <c r="IE83" s="4"/>
      <c r="IF83" s="4"/>
      <c r="IG83" s="4"/>
      <c r="IH83" s="4"/>
      <c r="II83" s="4"/>
      <c r="IJ83" s="4"/>
      <c r="IK83" s="4"/>
      <c r="IL83" s="4"/>
      <c r="IM83" s="4"/>
      <c r="IN83" s="4"/>
      <c r="IO83" s="4"/>
      <c r="IP83" s="4"/>
      <c r="IQ83" s="4"/>
      <c r="IR83" s="4"/>
      <c r="IS83" s="4"/>
      <c r="IT83" s="4"/>
      <c r="IU83" s="4"/>
      <c r="IV83" s="4"/>
      <c r="IW83" s="4"/>
      <c r="IX83" s="4"/>
      <c r="IY83" s="4"/>
      <c r="IZ83" s="4"/>
      <c r="JA83" s="4"/>
      <c r="JB83" s="4"/>
      <c r="JC83" s="4"/>
      <c r="JD83" s="4"/>
      <c r="JE83" s="4"/>
      <c r="JF83" s="4"/>
      <c r="JG83" s="4"/>
      <c r="JH83" s="4"/>
      <c r="JI83" s="4"/>
      <c r="JJ83" s="4"/>
      <c r="JK83" s="4"/>
      <c r="JL83" s="4"/>
      <c r="JM83" s="4"/>
      <c r="JN83" s="4"/>
      <c r="JO83" s="4"/>
      <c r="JP83" s="4"/>
      <c r="JQ83" s="4"/>
      <c r="JR83" s="4"/>
      <c r="JS83" s="4"/>
      <c r="JT83" s="4"/>
      <c r="JU83" s="4"/>
      <c r="JV83" s="4"/>
      <c r="JW83" s="4"/>
      <c r="JX83" s="4"/>
      <c r="JY83" s="4"/>
      <c r="JZ83" s="4"/>
      <c r="KA83" s="4"/>
      <c r="KB83" s="4"/>
      <c r="KC83" s="4"/>
      <c r="KD83" s="4"/>
      <c r="KE83" s="4"/>
      <c r="KF83" s="4"/>
      <c r="KG83" s="4"/>
      <c r="KH83" s="4"/>
      <c r="KI83" s="4"/>
      <c r="KJ83" s="4"/>
      <c r="KK83" s="4"/>
      <c r="KL83" s="4"/>
      <c r="KM83" s="4"/>
      <c r="KN83" s="4"/>
      <c r="KO83" s="4"/>
      <c r="KP83" s="4"/>
      <c r="KQ83" s="4"/>
      <c r="KR83" s="4"/>
      <c r="KS83" s="4"/>
      <c r="KT83" s="4"/>
      <c r="KU83" s="4"/>
      <c r="KV83" s="4"/>
      <c r="KW83" s="4"/>
      <c r="KX83" s="4"/>
      <c r="KY83" s="4"/>
      <c r="KZ83" s="4"/>
      <c r="LA83" s="4"/>
      <c r="LB83" s="4"/>
      <c r="LC83" s="4"/>
      <c r="LD83" s="4"/>
    </row>
    <row r="84" spans="1:316" s="15" customFormat="1" x14ac:dyDescent="0.3">
      <c r="A84" s="29" t="s">
        <v>120</v>
      </c>
      <c r="B84" s="28">
        <f t="shared" si="10"/>
        <v>23.17270293824701</v>
      </c>
      <c r="C84" s="28">
        <f t="shared" si="11"/>
        <v>46.90591073207171</v>
      </c>
      <c r="D84" s="27">
        <f t="shared" si="12"/>
        <v>1606.4</v>
      </c>
      <c r="E84" s="26">
        <f t="shared" si="13"/>
        <v>75349.654999999999</v>
      </c>
      <c r="F84" s="25">
        <f t="shared" si="14"/>
        <v>42.159269173306768</v>
      </c>
      <c r="G84"/>
      <c r="H84"/>
      <c r="I84"/>
      <c r="J84"/>
      <c r="K84"/>
      <c r="L8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  <c r="DX84" s="4"/>
      <c r="DY84" s="4"/>
      <c r="DZ84" s="4"/>
      <c r="EA84" s="4"/>
      <c r="EB84" s="4"/>
      <c r="EC84" s="4"/>
      <c r="ED84" s="4"/>
      <c r="EE84" s="4"/>
      <c r="EF84" s="4"/>
      <c r="EG84" s="4"/>
      <c r="EH84" s="4"/>
      <c r="EI84" s="4"/>
      <c r="EJ84" s="4"/>
      <c r="EK84" s="4"/>
      <c r="EL84" s="4"/>
      <c r="EM84" s="4"/>
      <c r="EN84" s="4"/>
      <c r="EO84" s="4"/>
      <c r="EP84" s="4"/>
      <c r="EQ84" s="4"/>
      <c r="ER84" s="4"/>
      <c r="ES84" s="4"/>
      <c r="ET84" s="4"/>
      <c r="EU84" s="4"/>
      <c r="EV84" s="4"/>
      <c r="EW84" s="4"/>
      <c r="EX84" s="4"/>
      <c r="EY84" s="4"/>
      <c r="EZ84" s="4"/>
      <c r="FA84" s="4"/>
      <c r="FB84" s="4"/>
      <c r="FC84" s="4"/>
      <c r="FD84" s="4"/>
      <c r="FE84" s="4"/>
      <c r="FF84" s="4"/>
      <c r="FG84" s="4"/>
      <c r="FH84" s="4"/>
      <c r="FI84" s="4"/>
      <c r="FJ84" s="4"/>
      <c r="FK84" s="4"/>
      <c r="FL84" s="4"/>
      <c r="FM84" s="4"/>
      <c r="FN84" s="4"/>
      <c r="FO84" s="4"/>
      <c r="FP84" s="4"/>
      <c r="FQ84" s="4"/>
      <c r="FR84" s="4"/>
      <c r="FS84" s="4"/>
      <c r="FT84" s="4"/>
      <c r="FU84" s="4"/>
      <c r="FV84" s="4"/>
      <c r="FW84" s="4"/>
      <c r="FX84" s="4"/>
      <c r="FY84" s="4"/>
      <c r="FZ84" s="4"/>
      <c r="GA84" s="4"/>
      <c r="GB84" s="4"/>
      <c r="GC84" s="4"/>
      <c r="GD84" s="4"/>
      <c r="GE84" s="4"/>
      <c r="GF84" s="4"/>
      <c r="GG84" s="4"/>
      <c r="GH84" s="4"/>
      <c r="GI84" s="4"/>
      <c r="GJ84" s="4"/>
      <c r="GK84" s="4"/>
      <c r="GL84" s="4"/>
      <c r="GM84" s="4"/>
      <c r="GN84" s="4"/>
      <c r="GO84" s="4"/>
      <c r="GP84" s="4"/>
      <c r="GQ84" s="4"/>
      <c r="GR84" s="4"/>
      <c r="GS84" s="4"/>
      <c r="GT84" s="4"/>
      <c r="GU84" s="4"/>
      <c r="GV84" s="4"/>
      <c r="GW84" s="4"/>
      <c r="GX84" s="4"/>
      <c r="GY84" s="4"/>
      <c r="GZ84" s="4"/>
      <c r="HA84" s="4"/>
      <c r="HB84" s="4"/>
      <c r="HC84" s="4"/>
      <c r="HD84" s="4"/>
      <c r="HE84" s="4"/>
      <c r="HF84" s="4"/>
      <c r="HG84" s="4"/>
      <c r="HH84" s="4"/>
      <c r="HI84" s="4"/>
      <c r="HJ84" s="4"/>
      <c r="HK84" s="4"/>
      <c r="HL84" s="4"/>
      <c r="HM84" s="4"/>
      <c r="HN84" s="4"/>
      <c r="HO84" s="4"/>
      <c r="HP84" s="4"/>
      <c r="HQ84" s="4"/>
      <c r="HR84" s="4"/>
      <c r="HS84" s="4"/>
      <c r="HT84" s="4"/>
      <c r="HU84" s="4"/>
      <c r="HV84" s="4"/>
      <c r="HW84" s="4"/>
      <c r="HX84" s="4"/>
      <c r="HY84" s="4"/>
      <c r="HZ84" s="4"/>
      <c r="IA84" s="4"/>
      <c r="IB84" s="4"/>
      <c r="IC84" s="4"/>
      <c r="ID84" s="4"/>
      <c r="IE84" s="4"/>
      <c r="IF84" s="4"/>
      <c r="IG84" s="4"/>
      <c r="IH84" s="4"/>
      <c r="II84" s="4"/>
      <c r="IJ84" s="4"/>
      <c r="IK84" s="4"/>
      <c r="IL84" s="4"/>
      <c r="IM84" s="4"/>
      <c r="IN84" s="4"/>
      <c r="IO84" s="4"/>
      <c r="IP84" s="4"/>
      <c r="IQ84" s="4"/>
      <c r="IR84" s="4"/>
      <c r="IS84" s="4"/>
      <c r="IT84" s="4"/>
      <c r="IU84" s="4"/>
      <c r="IV84" s="4"/>
      <c r="IW84" s="4"/>
      <c r="IX84" s="4"/>
      <c r="IY84" s="4"/>
      <c r="IZ84" s="4"/>
      <c r="JA84" s="4"/>
      <c r="JB84" s="4"/>
      <c r="JC84" s="4"/>
      <c r="JD84" s="4"/>
      <c r="JE84" s="4"/>
      <c r="JF84" s="4"/>
      <c r="JG84" s="4"/>
      <c r="JH84" s="4"/>
      <c r="JI84" s="4"/>
      <c r="JJ84" s="4"/>
      <c r="JK84" s="4"/>
      <c r="JL84" s="4"/>
      <c r="JM84" s="4"/>
      <c r="JN84" s="4"/>
      <c r="JO84" s="4"/>
      <c r="JP84" s="4"/>
      <c r="JQ84" s="4"/>
      <c r="JR84" s="4"/>
      <c r="JS84" s="4"/>
      <c r="JT84" s="4"/>
      <c r="JU84" s="4"/>
      <c r="JV84" s="4"/>
      <c r="JW84" s="4"/>
      <c r="JX84" s="4"/>
      <c r="JY84" s="4"/>
      <c r="JZ84" s="4"/>
      <c r="KA84" s="4"/>
      <c r="KB84" s="4"/>
      <c r="KC84" s="4"/>
      <c r="KD84" s="4"/>
      <c r="KE84" s="4"/>
      <c r="KF84" s="4"/>
      <c r="KG84" s="4"/>
      <c r="KH84" s="4"/>
      <c r="KI84" s="4"/>
      <c r="KJ84" s="4"/>
      <c r="KK84" s="4"/>
      <c r="KL84" s="4"/>
      <c r="KM84" s="4"/>
      <c r="KN84" s="4"/>
      <c r="KO84" s="4"/>
      <c r="KP84" s="4"/>
      <c r="KQ84" s="4"/>
      <c r="KR84" s="4"/>
      <c r="KS84" s="4"/>
      <c r="KT84" s="4"/>
      <c r="KU84" s="4"/>
      <c r="KV84" s="4"/>
      <c r="KW84" s="4"/>
      <c r="KX84" s="4"/>
      <c r="KY84" s="4"/>
      <c r="KZ84" s="4"/>
      <c r="LA84" s="4"/>
      <c r="LB84" s="4"/>
      <c r="LC84" s="4"/>
      <c r="LD84" s="4"/>
    </row>
    <row r="85" spans="1:316" x14ac:dyDescent="0.3">
      <c r="A85" s="32" t="s">
        <v>107</v>
      </c>
      <c r="B85" s="31">
        <f t="shared" si="10"/>
        <v>27.350749941410829</v>
      </c>
      <c r="C85" s="31">
        <f t="shared" si="11"/>
        <v>49.687886688539962</v>
      </c>
      <c r="D85" s="4">
        <f t="shared" si="12"/>
        <v>1706.8</v>
      </c>
      <c r="E85" s="30">
        <f t="shared" si="13"/>
        <v>84807.285000000003</v>
      </c>
      <c r="F85" s="20">
        <f t="shared" si="14"/>
        <v>45.220459339114129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  <c r="DX85" s="4"/>
      <c r="DY85" s="4"/>
      <c r="DZ85" s="4"/>
      <c r="EA85" s="4"/>
      <c r="EB85" s="4"/>
      <c r="EC85" s="4"/>
      <c r="ED85" s="4"/>
      <c r="EE85" s="4"/>
      <c r="EF85" s="4"/>
      <c r="EG85" s="4"/>
      <c r="EH85" s="4"/>
      <c r="EI85" s="4"/>
      <c r="EJ85" s="4"/>
      <c r="EK85" s="4"/>
      <c r="EL85" s="4"/>
      <c r="EM85" s="4"/>
      <c r="EN85" s="4"/>
      <c r="EO85" s="4"/>
      <c r="EP85" s="4"/>
      <c r="EQ85" s="4"/>
      <c r="ER85" s="4"/>
      <c r="ES85" s="4"/>
      <c r="ET85" s="4"/>
      <c r="EU85" s="4"/>
      <c r="EV85" s="4"/>
      <c r="EW85" s="4"/>
      <c r="EX85" s="4"/>
      <c r="EY85" s="4"/>
      <c r="EZ85" s="4"/>
      <c r="FA85" s="4"/>
      <c r="FB85" s="4"/>
      <c r="FC85" s="4"/>
      <c r="FD85" s="4"/>
      <c r="FE85" s="4"/>
      <c r="FF85" s="4"/>
      <c r="FG85" s="4"/>
      <c r="FH85" s="4"/>
      <c r="FI85" s="4"/>
      <c r="FJ85" s="4"/>
      <c r="FK85" s="4"/>
      <c r="FL85" s="4"/>
      <c r="FM85" s="4"/>
      <c r="FN85" s="4"/>
      <c r="FO85" s="4"/>
      <c r="FP85" s="4"/>
      <c r="FQ85" s="4"/>
      <c r="FR85" s="4"/>
      <c r="FS85" s="4"/>
      <c r="FT85" s="4"/>
      <c r="FU85" s="4"/>
      <c r="FV85" s="4"/>
      <c r="FW85" s="4"/>
      <c r="FX85" s="4"/>
      <c r="FY85" s="4"/>
      <c r="FZ85" s="4"/>
      <c r="GA85" s="4"/>
      <c r="GB85" s="4"/>
      <c r="GC85" s="4"/>
      <c r="GD85" s="4"/>
      <c r="GE85" s="4"/>
      <c r="GF85" s="4"/>
      <c r="GG85" s="4"/>
      <c r="GH85" s="4"/>
      <c r="GI85" s="4"/>
      <c r="GJ85" s="4"/>
      <c r="GK85" s="4"/>
      <c r="GL85" s="4"/>
      <c r="GM85" s="4"/>
      <c r="GN85" s="4"/>
      <c r="GO85" s="4"/>
      <c r="GP85" s="4"/>
      <c r="GQ85" s="4"/>
      <c r="GR85" s="4"/>
      <c r="GS85" s="4"/>
      <c r="GT85" s="4"/>
      <c r="GU85" s="4"/>
      <c r="GV85" s="4"/>
      <c r="GW85" s="4"/>
      <c r="GX85" s="4"/>
      <c r="GY85" s="4"/>
      <c r="GZ85" s="4"/>
      <c r="HA85" s="4"/>
      <c r="HB85" s="4"/>
      <c r="HC85" s="4"/>
      <c r="HD85" s="4"/>
      <c r="HE85" s="4"/>
      <c r="HF85" s="4"/>
      <c r="HG85" s="4"/>
      <c r="HH85" s="4"/>
      <c r="HI85" s="4"/>
      <c r="HJ85" s="4"/>
      <c r="HK85" s="4"/>
      <c r="HL85" s="4"/>
      <c r="HM85" s="4"/>
      <c r="HN85" s="4"/>
      <c r="HO85" s="4"/>
      <c r="HP85" s="4"/>
      <c r="HQ85" s="4"/>
      <c r="HR85" s="4"/>
      <c r="HS85" s="4"/>
      <c r="HT85" s="4"/>
      <c r="HU85" s="4"/>
      <c r="HV85" s="4"/>
      <c r="HW85" s="4"/>
      <c r="HX85" s="4"/>
      <c r="HY85" s="4"/>
      <c r="HZ85" s="4"/>
      <c r="IA85" s="4"/>
      <c r="IB85" s="4"/>
      <c r="IC85" s="4"/>
      <c r="ID85" s="4"/>
      <c r="IE85" s="4"/>
      <c r="IF85" s="4"/>
      <c r="IG85" s="4"/>
      <c r="IH85" s="4"/>
      <c r="II85" s="4"/>
      <c r="IJ85" s="4"/>
      <c r="IK85" s="4"/>
      <c r="IL85" s="4"/>
      <c r="IM85" s="4"/>
      <c r="IN85" s="4"/>
      <c r="IO85" s="4"/>
      <c r="IP85" s="4"/>
      <c r="IQ85" s="4"/>
      <c r="IR85" s="4"/>
      <c r="IS85" s="4"/>
      <c r="IT85" s="4"/>
      <c r="IU85" s="4"/>
      <c r="IV85" s="4"/>
      <c r="IW85" s="4"/>
      <c r="IX85" s="4"/>
      <c r="IY85" s="4"/>
      <c r="IZ85" s="4"/>
      <c r="JA85" s="4"/>
      <c r="JB85" s="4"/>
      <c r="JC85" s="4"/>
      <c r="JD85" s="4"/>
      <c r="JE85" s="4"/>
      <c r="JF85" s="4"/>
      <c r="JG85" s="4"/>
      <c r="JH85" s="4"/>
      <c r="JI85" s="4"/>
      <c r="JJ85" s="4"/>
      <c r="JK85" s="4"/>
      <c r="JL85" s="4"/>
      <c r="JM85" s="4"/>
      <c r="JN85" s="4"/>
      <c r="JO85" s="4"/>
      <c r="JP85" s="4"/>
      <c r="JQ85" s="4"/>
      <c r="JR85" s="4"/>
      <c r="JS85" s="4"/>
      <c r="JT85" s="4"/>
      <c r="JU85" s="4"/>
      <c r="JV85" s="4"/>
      <c r="JW85" s="4"/>
      <c r="JX85" s="4"/>
      <c r="JY85" s="4"/>
      <c r="JZ85" s="4"/>
      <c r="KA85" s="4"/>
      <c r="KB85" s="4"/>
      <c r="KC85" s="4"/>
      <c r="KD85" s="4"/>
      <c r="KE85" s="4"/>
      <c r="KF85" s="4"/>
      <c r="KG85" s="4"/>
      <c r="KH85" s="4"/>
      <c r="KI85" s="4"/>
      <c r="KJ85" s="4"/>
      <c r="KK85" s="4"/>
      <c r="KL85" s="4"/>
      <c r="KM85" s="4"/>
      <c r="KN85" s="4"/>
      <c r="KO85" s="4"/>
      <c r="KP85" s="4"/>
      <c r="KQ85" s="4"/>
      <c r="KR85" s="4"/>
      <c r="KS85" s="4"/>
      <c r="KT85" s="4"/>
      <c r="KU85" s="4"/>
      <c r="KV85" s="4"/>
      <c r="KW85" s="4"/>
      <c r="KX85" s="4"/>
      <c r="KY85" s="4"/>
      <c r="KZ85" s="4"/>
      <c r="LA85" s="4"/>
      <c r="LB85" s="4"/>
      <c r="LC85" s="4"/>
      <c r="LD85" s="4"/>
    </row>
    <row r="86" spans="1:316" s="15" customFormat="1" x14ac:dyDescent="0.3">
      <c r="A86" s="29" t="s">
        <v>108</v>
      </c>
      <c r="B86" s="28">
        <f t="shared" si="10"/>
        <v>28.901719787516598</v>
      </c>
      <c r="C86" s="28">
        <f t="shared" si="11"/>
        <v>54.217141434262956</v>
      </c>
      <c r="D86" s="27">
        <f t="shared" si="12"/>
        <v>1506</v>
      </c>
      <c r="E86" s="26">
        <f t="shared" si="13"/>
        <v>81651.015000000014</v>
      </c>
      <c r="F86" s="25">
        <f t="shared" si="14"/>
        <v>49.154057104913683</v>
      </c>
      <c r="G86"/>
      <c r="H86"/>
      <c r="I86"/>
      <c r="J86"/>
      <c r="K86"/>
      <c r="L86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  <c r="DX86" s="4"/>
      <c r="DY86" s="4"/>
      <c r="DZ86" s="4"/>
      <c r="EA86" s="4"/>
      <c r="EB86" s="4"/>
      <c r="EC86" s="4"/>
      <c r="ED86" s="4"/>
      <c r="EE86" s="4"/>
      <c r="EF86" s="4"/>
      <c r="EG86" s="4"/>
      <c r="EH86" s="4"/>
      <c r="EI86" s="4"/>
      <c r="EJ86" s="4"/>
      <c r="EK86" s="4"/>
      <c r="EL86" s="4"/>
      <c r="EM86" s="4"/>
      <c r="EN86" s="4"/>
      <c r="EO86" s="4"/>
      <c r="EP86" s="4"/>
      <c r="EQ86" s="4"/>
      <c r="ER86" s="4"/>
      <c r="ES86" s="4"/>
      <c r="ET86" s="4"/>
      <c r="EU86" s="4"/>
      <c r="EV86" s="4"/>
      <c r="EW86" s="4"/>
      <c r="EX86" s="4"/>
      <c r="EY86" s="4"/>
      <c r="EZ86" s="4"/>
      <c r="FA86" s="4"/>
      <c r="FB86" s="4"/>
      <c r="FC86" s="4"/>
      <c r="FD86" s="4"/>
      <c r="FE86" s="4"/>
      <c r="FF86" s="4"/>
      <c r="FG86" s="4"/>
      <c r="FH86" s="4"/>
      <c r="FI86" s="4"/>
      <c r="FJ86" s="4"/>
      <c r="FK86" s="4"/>
      <c r="FL86" s="4"/>
      <c r="FM86" s="4"/>
      <c r="FN86" s="4"/>
      <c r="FO86" s="4"/>
      <c r="FP86" s="4"/>
      <c r="FQ86" s="4"/>
      <c r="FR86" s="4"/>
      <c r="FS86" s="4"/>
      <c r="FT86" s="4"/>
      <c r="FU86" s="4"/>
      <c r="FV86" s="4"/>
      <c r="FW86" s="4"/>
      <c r="FX86" s="4"/>
      <c r="FY86" s="4"/>
      <c r="FZ86" s="4"/>
      <c r="GA86" s="4"/>
      <c r="GB86" s="4"/>
      <c r="GC86" s="4"/>
      <c r="GD86" s="4"/>
      <c r="GE86" s="4"/>
      <c r="GF86" s="4"/>
      <c r="GG86" s="4"/>
      <c r="GH86" s="4"/>
      <c r="GI86" s="4"/>
      <c r="GJ86" s="4"/>
      <c r="GK86" s="4"/>
      <c r="GL86" s="4"/>
      <c r="GM86" s="4"/>
      <c r="GN86" s="4"/>
      <c r="GO86" s="4"/>
      <c r="GP86" s="4"/>
      <c r="GQ86" s="4"/>
      <c r="GR86" s="4"/>
      <c r="GS86" s="4"/>
      <c r="GT86" s="4"/>
      <c r="GU86" s="4"/>
      <c r="GV86" s="4"/>
      <c r="GW86" s="4"/>
      <c r="GX86" s="4"/>
      <c r="GY86" s="4"/>
      <c r="GZ86" s="4"/>
      <c r="HA86" s="4"/>
      <c r="HB86" s="4"/>
      <c r="HC86" s="4"/>
      <c r="HD86" s="4"/>
      <c r="HE86" s="4"/>
      <c r="HF86" s="4"/>
      <c r="HG86" s="4"/>
      <c r="HH86" s="4"/>
      <c r="HI86" s="4"/>
      <c r="HJ86" s="4"/>
      <c r="HK86" s="4"/>
      <c r="HL86" s="4"/>
      <c r="HM86" s="4"/>
      <c r="HN86" s="4"/>
      <c r="HO86" s="4"/>
      <c r="HP86" s="4"/>
      <c r="HQ86" s="4"/>
      <c r="HR86" s="4"/>
      <c r="HS86" s="4"/>
      <c r="HT86" s="4"/>
      <c r="HU86" s="4"/>
      <c r="HV86" s="4"/>
      <c r="HW86" s="4"/>
      <c r="HX86" s="4"/>
      <c r="HY86" s="4"/>
      <c r="HZ86" s="4"/>
      <c r="IA86" s="4"/>
      <c r="IB86" s="4"/>
      <c r="IC86" s="4"/>
      <c r="ID86" s="4"/>
      <c r="IE86" s="4"/>
      <c r="IF86" s="4"/>
      <c r="IG86" s="4"/>
      <c r="IH86" s="4"/>
      <c r="II86" s="4"/>
      <c r="IJ86" s="4"/>
      <c r="IK86" s="4"/>
      <c r="IL86" s="4"/>
      <c r="IM86" s="4"/>
      <c r="IN86" s="4"/>
      <c r="IO86" s="4"/>
      <c r="IP86" s="4"/>
      <c r="IQ86" s="4"/>
      <c r="IR86" s="4"/>
      <c r="IS86" s="4"/>
      <c r="IT86" s="4"/>
      <c r="IU86" s="4"/>
      <c r="IV86" s="4"/>
      <c r="IW86" s="4"/>
      <c r="IX86" s="4"/>
      <c r="IY86" s="4"/>
      <c r="IZ86" s="4"/>
      <c r="JA86" s="4"/>
      <c r="JB86" s="4"/>
      <c r="JC86" s="4"/>
      <c r="JD86" s="4"/>
      <c r="JE86" s="4"/>
      <c r="JF86" s="4"/>
      <c r="JG86" s="4"/>
      <c r="JH86" s="4"/>
      <c r="JI86" s="4"/>
      <c r="JJ86" s="4"/>
      <c r="JK86" s="4"/>
      <c r="JL86" s="4"/>
      <c r="JM86" s="4"/>
      <c r="JN86" s="4"/>
      <c r="JO86" s="4"/>
      <c r="JP86" s="4"/>
      <c r="JQ86" s="4"/>
      <c r="JR86" s="4"/>
      <c r="JS86" s="4"/>
      <c r="JT86" s="4"/>
      <c r="JU86" s="4"/>
      <c r="JV86" s="4"/>
      <c r="JW86" s="4"/>
      <c r="JX86" s="4"/>
      <c r="JY86" s="4"/>
      <c r="JZ86" s="4"/>
      <c r="KA86" s="4"/>
      <c r="KB86" s="4"/>
      <c r="KC86" s="4"/>
      <c r="KD86" s="4"/>
      <c r="KE86" s="4"/>
      <c r="KF86" s="4"/>
      <c r="KG86" s="4"/>
      <c r="KH86" s="4"/>
      <c r="KI86" s="4"/>
      <c r="KJ86" s="4"/>
      <c r="KK86" s="4"/>
      <c r="KL86" s="4"/>
      <c r="KM86" s="4"/>
      <c r="KN86" s="4"/>
      <c r="KO86" s="4"/>
      <c r="KP86" s="4"/>
      <c r="KQ86" s="4"/>
      <c r="KR86" s="4"/>
      <c r="KS86" s="4"/>
      <c r="KT86" s="4"/>
      <c r="KU86" s="4"/>
      <c r="KV86" s="4"/>
      <c r="KW86" s="4"/>
      <c r="KX86" s="4"/>
      <c r="KY86" s="4"/>
      <c r="KZ86" s="4"/>
      <c r="LA86" s="4"/>
      <c r="LB86" s="4"/>
      <c r="LC86" s="4"/>
      <c r="LD86" s="4"/>
    </row>
    <row r="87" spans="1:316" x14ac:dyDescent="0.3">
      <c r="A87" s="32" t="s">
        <v>121</v>
      </c>
      <c r="B87" s="31">
        <f t="shared" si="10"/>
        <v>25.976956878368878</v>
      </c>
      <c r="C87" s="31">
        <f t="shared" si="11"/>
        <v>48.314093625498018</v>
      </c>
      <c r="D87" s="4">
        <f t="shared" si="12"/>
        <v>3413.6</v>
      </c>
      <c r="E87" s="30">
        <f t="shared" si="13"/>
        <v>164924.99000000002</v>
      </c>
      <c r="F87" s="20">
        <f t="shared" si="14"/>
        <v>43.846666276072185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  <c r="DX87" s="4"/>
      <c r="DY87" s="4"/>
      <c r="DZ87" s="4"/>
      <c r="EA87" s="4"/>
      <c r="EB87" s="4"/>
      <c r="EC87" s="4"/>
      <c r="ED87" s="4"/>
      <c r="EE87" s="4"/>
      <c r="EF87" s="4"/>
      <c r="EG87" s="4"/>
      <c r="EH87" s="4"/>
      <c r="EI87" s="4"/>
      <c r="EJ87" s="4"/>
      <c r="EK87" s="4"/>
      <c r="EL87" s="4"/>
      <c r="EM87" s="4"/>
      <c r="EN87" s="4"/>
      <c r="EO87" s="4"/>
      <c r="EP87" s="4"/>
      <c r="EQ87" s="4"/>
      <c r="ER87" s="4"/>
      <c r="ES87" s="4"/>
      <c r="ET87" s="4"/>
      <c r="EU87" s="4"/>
      <c r="EV87" s="4"/>
      <c r="EW87" s="4"/>
      <c r="EX87" s="4"/>
      <c r="EY87" s="4"/>
      <c r="EZ87" s="4"/>
      <c r="FA87" s="4"/>
      <c r="FB87" s="4"/>
      <c r="FC87" s="4"/>
      <c r="FD87" s="4"/>
      <c r="FE87" s="4"/>
      <c r="FF87" s="4"/>
      <c r="FG87" s="4"/>
      <c r="FH87" s="4"/>
      <c r="FI87" s="4"/>
      <c r="FJ87" s="4"/>
      <c r="FK87" s="4"/>
      <c r="FL87" s="4"/>
      <c r="FM87" s="4"/>
      <c r="FN87" s="4"/>
      <c r="FO87" s="4"/>
      <c r="FP87" s="4"/>
      <c r="FQ87" s="4"/>
      <c r="FR87" s="4"/>
      <c r="FS87" s="4"/>
      <c r="FT87" s="4"/>
      <c r="FU87" s="4"/>
      <c r="FV87" s="4"/>
      <c r="FW87" s="4"/>
      <c r="FX87" s="4"/>
      <c r="FY87" s="4"/>
      <c r="FZ87" s="4"/>
      <c r="GA87" s="4"/>
      <c r="GB87" s="4"/>
      <c r="GC87" s="4"/>
      <c r="GD87" s="4"/>
      <c r="GE87" s="4"/>
      <c r="GF87" s="4"/>
      <c r="GG87" s="4"/>
      <c r="GH87" s="4"/>
      <c r="GI87" s="4"/>
      <c r="GJ87" s="4"/>
      <c r="GK87" s="4"/>
      <c r="GL87" s="4"/>
      <c r="GM87" s="4"/>
      <c r="GN87" s="4"/>
      <c r="GO87" s="4"/>
      <c r="GP87" s="4"/>
      <c r="GQ87" s="4"/>
      <c r="GR87" s="4"/>
      <c r="GS87" s="4"/>
      <c r="GT87" s="4"/>
      <c r="GU87" s="4"/>
      <c r="GV87" s="4"/>
      <c r="GW87" s="4"/>
      <c r="GX87" s="4"/>
      <c r="GY87" s="4"/>
      <c r="GZ87" s="4"/>
      <c r="HA87" s="4"/>
      <c r="HB87" s="4"/>
      <c r="HC87" s="4"/>
      <c r="HD87" s="4"/>
      <c r="HE87" s="4"/>
      <c r="HF87" s="4"/>
      <c r="HG87" s="4"/>
      <c r="HH87" s="4"/>
      <c r="HI87" s="4"/>
      <c r="HJ87" s="4"/>
      <c r="HK87" s="4"/>
      <c r="HL87" s="4"/>
      <c r="HM87" s="4"/>
      <c r="HN87" s="4"/>
      <c r="HO87" s="4"/>
      <c r="HP87" s="4"/>
      <c r="HQ87" s="4"/>
      <c r="HR87" s="4"/>
      <c r="HS87" s="4"/>
      <c r="HT87" s="4"/>
      <c r="HU87" s="4"/>
      <c r="HV87" s="4"/>
      <c r="HW87" s="4"/>
      <c r="HX87" s="4"/>
      <c r="HY87" s="4"/>
      <c r="HZ87" s="4"/>
      <c r="IA87" s="4"/>
      <c r="IB87" s="4"/>
      <c r="IC87" s="4"/>
      <c r="ID87" s="4"/>
      <c r="IE87" s="4"/>
      <c r="IF87" s="4"/>
      <c r="IG87" s="4"/>
      <c r="IH87" s="4"/>
      <c r="II87" s="4"/>
      <c r="IJ87" s="4"/>
      <c r="IK87" s="4"/>
      <c r="IL87" s="4"/>
      <c r="IM87" s="4"/>
      <c r="IN87" s="4"/>
      <c r="IO87" s="4"/>
      <c r="IP87" s="4"/>
      <c r="IQ87" s="4"/>
      <c r="IR87" s="4"/>
      <c r="IS87" s="4"/>
      <c r="IT87" s="4"/>
      <c r="IU87" s="4"/>
      <c r="IV87" s="4"/>
      <c r="IW87" s="4"/>
      <c r="IX87" s="4"/>
      <c r="IY87" s="4"/>
      <c r="IZ87" s="4"/>
      <c r="JA87" s="4"/>
      <c r="JB87" s="4"/>
      <c r="JC87" s="4"/>
      <c r="JD87" s="4"/>
      <c r="JE87" s="4"/>
      <c r="JF87" s="4"/>
      <c r="JG87" s="4"/>
      <c r="JH87" s="4"/>
      <c r="JI87" s="4"/>
      <c r="JJ87" s="4"/>
      <c r="JK87" s="4"/>
      <c r="JL87" s="4"/>
      <c r="JM87" s="4"/>
      <c r="JN87" s="4"/>
      <c r="JO87" s="4"/>
      <c r="JP87" s="4"/>
      <c r="JQ87" s="4"/>
      <c r="JR87" s="4"/>
      <c r="JS87" s="4"/>
      <c r="JT87" s="4"/>
      <c r="JU87" s="4"/>
      <c r="JV87" s="4"/>
      <c r="JW87" s="4"/>
      <c r="JX87" s="4"/>
      <c r="JY87" s="4"/>
      <c r="JZ87" s="4"/>
      <c r="KA87" s="4"/>
      <c r="KB87" s="4"/>
      <c r="KC87" s="4"/>
      <c r="KD87" s="4"/>
      <c r="KE87" s="4"/>
      <c r="KF87" s="4"/>
      <c r="KG87" s="4"/>
      <c r="KH87" s="4"/>
      <c r="KI87" s="4"/>
      <c r="KJ87" s="4"/>
      <c r="KK87" s="4"/>
      <c r="KL87" s="4"/>
      <c r="KM87" s="4"/>
      <c r="KN87" s="4"/>
      <c r="KO87" s="4"/>
      <c r="KP87" s="4"/>
      <c r="KQ87" s="4"/>
      <c r="KR87" s="4"/>
      <c r="KS87" s="4"/>
      <c r="KT87" s="4"/>
      <c r="KU87" s="4"/>
      <c r="KV87" s="4"/>
      <c r="KW87" s="4"/>
      <c r="KX87" s="4"/>
      <c r="KY87" s="4"/>
      <c r="KZ87" s="4"/>
      <c r="LA87" s="4"/>
      <c r="LB87" s="4"/>
      <c r="LC87" s="4"/>
      <c r="LD87" s="4"/>
    </row>
    <row r="88" spans="1:316" s="15" customFormat="1" x14ac:dyDescent="0.3">
      <c r="A88" s="29" t="s">
        <v>122</v>
      </c>
      <c r="B88" s="28">
        <f t="shared" si="10"/>
        <v>16.852881331815595</v>
      </c>
      <c r="C88" s="28">
        <f t="shared" si="11"/>
        <v>43.976547381900978</v>
      </c>
      <c r="D88" s="27">
        <f t="shared" si="12"/>
        <v>5622.4</v>
      </c>
      <c r="E88" s="26">
        <f t="shared" si="13"/>
        <v>247253.74000000005</v>
      </c>
      <c r="F88" s="25">
        <f t="shared" si="14"/>
        <v>38.551814171883898</v>
      </c>
      <c r="G88"/>
      <c r="H88"/>
      <c r="I88"/>
      <c r="J88"/>
      <c r="K88"/>
      <c r="L88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  <c r="DX88" s="4"/>
      <c r="DY88" s="4"/>
      <c r="DZ88" s="4"/>
      <c r="EA88" s="4"/>
      <c r="EB88" s="4"/>
      <c r="EC88" s="4"/>
      <c r="ED88" s="4"/>
      <c r="EE88" s="4"/>
      <c r="EF88" s="4"/>
      <c r="EG88" s="4"/>
      <c r="EH88" s="4"/>
      <c r="EI88" s="4"/>
      <c r="EJ88" s="4"/>
      <c r="EK88" s="4"/>
      <c r="EL88" s="4"/>
      <c r="EM88" s="4"/>
      <c r="EN88" s="4"/>
      <c r="EO88" s="4"/>
      <c r="EP88" s="4"/>
      <c r="EQ88" s="4"/>
      <c r="ER88" s="4"/>
      <c r="ES88" s="4"/>
      <c r="ET88" s="4"/>
      <c r="EU88" s="4"/>
      <c r="EV88" s="4"/>
      <c r="EW88" s="4"/>
      <c r="EX88" s="4"/>
      <c r="EY88" s="4"/>
      <c r="EZ88" s="4"/>
      <c r="FA88" s="4"/>
      <c r="FB88" s="4"/>
      <c r="FC88" s="4"/>
      <c r="FD88" s="4"/>
      <c r="FE88" s="4"/>
      <c r="FF88" s="4"/>
      <c r="FG88" s="4"/>
      <c r="FH88" s="4"/>
      <c r="FI88" s="4"/>
      <c r="FJ88" s="4"/>
      <c r="FK88" s="4"/>
      <c r="FL88" s="4"/>
      <c r="FM88" s="4"/>
      <c r="FN88" s="4"/>
      <c r="FO88" s="4"/>
      <c r="FP88" s="4"/>
      <c r="FQ88" s="4"/>
      <c r="FR88" s="4"/>
      <c r="FS88" s="4"/>
      <c r="FT88" s="4"/>
      <c r="FU88" s="4"/>
      <c r="FV88" s="4"/>
      <c r="FW88" s="4"/>
      <c r="FX88" s="4"/>
      <c r="FY88" s="4"/>
      <c r="FZ88" s="4"/>
      <c r="GA88" s="4"/>
      <c r="GB88" s="4"/>
      <c r="GC88" s="4"/>
      <c r="GD88" s="4"/>
      <c r="GE88" s="4"/>
      <c r="GF88" s="4"/>
      <c r="GG88" s="4"/>
      <c r="GH88" s="4"/>
      <c r="GI88" s="4"/>
      <c r="GJ88" s="4"/>
      <c r="GK88" s="4"/>
      <c r="GL88" s="4"/>
      <c r="GM88" s="4"/>
      <c r="GN88" s="4"/>
      <c r="GO88" s="4"/>
      <c r="GP88" s="4"/>
      <c r="GQ88" s="4"/>
      <c r="GR88" s="4"/>
      <c r="GS88" s="4"/>
      <c r="GT88" s="4"/>
      <c r="GU88" s="4"/>
      <c r="GV88" s="4"/>
      <c r="GW88" s="4"/>
      <c r="GX88" s="4"/>
      <c r="GY88" s="4"/>
      <c r="GZ88" s="4"/>
      <c r="HA88" s="4"/>
      <c r="HB88" s="4"/>
      <c r="HC88" s="4"/>
      <c r="HD88" s="4"/>
      <c r="HE88" s="4"/>
      <c r="HF88" s="4"/>
      <c r="HG88" s="4"/>
      <c r="HH88" s="4"/>
      <c r="HI88" s="4"/>
      <c r="HJ88" s="4"/>
      <c r="HK88" s="4"/>
      <c r="HL88" s="4"/>
      <c r="HM88" s="4"/>
      <c r="HN88" s="4"/>
      <c r="HO88" s="4"/>
      <c r="HP88" s="4"/>
      <c r="HQ88" s="4"/>
      <c r="HR88" s="4"/>
      <c r="HS88" s="4"/>
      <c r="HT88" s="4"/>
      <c r="HU88" s="4"/>
      <c r="HV88" s="4"/>
      <c r="HW88" s="4"/>
      <c r="HX88" s="4"/>
      <c r="HY88" s="4"/>
      <c r="HZ88" s="4"/>
      <c r="IA88" s="4"/>
      <c r="IB88" s="4"/>
      <c r="IC88" s="4"/>
      <c r="ID88" s="4"/>
      <c r="IE88" s="4"/>
      <c r="IF88" s="4"/>
      <c r="IG88" s="4"/>
      <c r="IH88" s="4"/>
      <c r="II88" s="4"/>
      <c r="IJ88" s="4"/>
      <c r="IK88" s="4"/>
      <c r="IL88" s="4"/>
      <c r="IM88" s="4"/>
      <c r="IN88" s="4"/>
      <c r="IO88" s="4"/>
      <c r="IP88" s="4"/>
      <c r="IQ88" s="4"/>
      <c r="IR88" s="4"/>
      <c r="IS88" s="4"/>
      <c r="IT88" s="4"/>
      <c r="IU88" s="4"/>
      <c r="IV88" s="4"/>
      <c r="IW88" s="4"/>
      <c r="IX88" s="4"/>
      <c r="IY88" s="4"/>
      <c r="IZ88" s="4"/>
      <c r="JA88" s="4"/>
      <c r="JB88" s="4"/>
      <c r="JC88" s="4"/>
      <c r="JD88" s="4"/>
      <c r="JE88" s="4"/>
      <c r="JF88" s="4"/>
      <c r="JG88" s="4"/>
      <c r="JH88" s="4"/>
      <c r="JI88" s="4"/>
      <c r="JJ88" s="4"/>
      <c r="JK88" s="4"/>
      <c r="JL88" s="4"/>
      <c r="JM88" s="4"/>
      <c r="JN88" s="4"/>
      <c r="JO88" s="4"/>
      <c r="JP88" s="4"/>
      <c r="JQ88" s="4"/>
      <c r="JR88" s="4"/>
      <c r="JS88" s="4"/>
      <c r="JT88" s="4"/>
      <c r="JU88" s="4"/>
      <c r="JV88" s="4"/>
      <c r="JW88" s="4"/>
      <c r="JX88" s="4"/>
      <c r="JY88" s="4"/>
      <c r="JZ88" s="4"/>
      <c r="KA88" s="4"/>
      <c r="KB88" s="4"/>
      <c r="KC88" s="4"/>
      <c r="KD88" s="4"/>
      <c r="KE88" s="4"/>
      <c r="KF88" s="4"/>
      <c r="KG88" s="4"/>
      <c r="KH88" s="4"/>
      <c r="KI88" s="4"/>
      <c r="KJ88" s="4"/>
      <c r="KK88" s="4"/>
      <c r="KL88" s="4"/>
      <c r="KM88" s="4"/>
      <c r="KN88" s="4"/>
      <c r="KO88" s="4"/>
      <c r="KP88" s="4"/>
      <c r="KQ88" s="4"/>
      <c r="KR88" s="4"/>
      <c r="KS88" s="4"/>
      <c r="KT88" s="4"/>
      <c r="KU88" s="4"/>
      <c r="KV88" s="4"/>
      <c r="KW88" s="4"/>
      <c r="KX88" s="4"/>
      <c r="KY88" s="4"/>
      <c r="KZ88" s="4"/>
      <c r="LA88" s="4"/>
      <c r="LB88" s="4"/>
      <c r="LC88" s="4"/>
      <c r="LD88" s="4"/>
    </row>
    <row r="89" spans="1:316" ht="15" thickBot="1" x14ac:dyDescent="0.35">
      <c r="A89" s="24" t="s">
        <v>123</v>
      </c>
      <c r="B89" s="23">
        <f t="shared" si="10"/>
        <v>0</v>
      </c>
      <c r="C89" s="23">
        <f t="shared" si="11"/>
        <v>0</v>
      </c>
      <c r="D89" s="22">
        <f t="shared" si="12"/>
        <v>0</v>
      </c>
      <c r="E89" s="21">
        <f t="shared" si="13"/>
        <v>0</v>
      </c>
      <c r="F89" s="20">
        <f t="shared" si="14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  <c r="EB89" s="4"/>
      <c r="EC89" s="4"/>
      <c r="ED89" s="4"/>
      <c r="EE89" s="4"/>
      <c r="EF89" s="4"/>
      <c r="EG89" s="4"/>
      <c r="EH89" s="4"/>
      <c r="EI89" s="4"/>
      <c r="EJ89" s="4"/>
      <c r="EK89" s="4"/>
      <c r="EL89" s="4"/>
      <c r="EM89" s="4"/>
      <c r="EN89" s="4"/>
      <c r="EO89" s="4"/>
      <c r="EP89" s="4"/>
      <c r="EQ89" s="4"/>
      <c r="ER89" s="4"/>
      <c r="ES89" s="4"/>
      <c r="ET89" s="4"/>
      <c r="EU89" s="4"/>
      <c r="EV89" s="4"/>
      <c r="EW89" s="4"/>
      <c r="EX89" s="4"/>
      <c r="EY89" s="4"/>
      <c r="EZ89" s="4"/>
      <c r="FA89" s="4"/>
      <c r="FB89" s="4"/>
      <c r="FC89" s="4"/>
      <c r="FD89" s="4"/>
      <c r="FE89" s="4"/>
      <c r="FF89" s="4"/>
      <c r="FG89" s="4"/>
      <c r="FH89" s="4"/>
      <c r="FI89" s="4"/>
      <c r="FJ89" s="4"/>
      <c r="FK89" s="4"/>
      <c r="FL89" s="4"/>
      <c r="FM89" s="4"/>
      <c r="FN89" s="4"/>
      <c r="FO89" s="4"/>
      <c r="FP89" s="4"/>
      <c r="FQ89" s="4"/>
      <c r="FR89" s="4"/>
      <c r="FS89" s="4"/>
      <c r="FT89" s="4"/>
      <c r="FU89" s="4"/>
      <c r="FV89" s="4"/>
      <c r="FW89" s="4"/>
      <c r="FX89" s="4"/>
      <c r="FY89" s="4"/>
      <c r="FZ89" s="4"/>
      <c r="GA89" s="4"/>
      <c r="GB89" s="4"/>
      <c r="GC89" s="4"/>
      <c r="GD89" s="4"/>
      <c r="GE89" s="4"/>
      <c r="GF89" s="4"/>
      <c r="GG89" s="4"/>
      <c r="GH89" s="4"/>
      <c r="GI89" s="4"/>
      <c r="GJ89" s="4"/>
      <c r="GK89" s="4"/>
      <c r="GL89" s="4"/>
      <c r="GM89" s="4"/>
      <c r="GN89" s="4"/>
      <c r="GO89" s="4"/>
      <c r="GP89" s="4"/>
      <c r="GQ89" s="4"/>
      <c r="GR89" s="4"/>
      <c r="GS89" s="4"/>
      <c r="GT89" s="4"/>
      <c r="GU89" s="4"/>
      <c r="GV89" s="4"/>
      <c r="GW89" s="4"/>
      <c r="GX89" s="4"/>
      <c r="GY89" s="4"/>
      <c r="GZ89" s="4"/>
      <c r="HA89" s="4"/>
      <c r="HB89" s="4"/>
      <c r="HC89" s="4"/>
      <c r="HD89" s="4"/>
      <c r="HE89" s="4"/>
      <c r="HF89" s="4"/>
      <c r="HG89" s="4"/>
      <c r="HH89" s="4"/>
      <c r="HI89" s="4"/>
      <c r="HJ89" s="4"/>
      <c r="HK89" s="4"/>
      <c r="HL89" s="4"/>
      <c r="HM89" s="4"/>
      <c r="HN89" s="4"/>
      <c r="HO89" s="4"/>
      <c r="HP89" s="4"/>
      <c r="HQ89" s="4"/>
      <c r="HR89" s="4"/>
      <c r="HS89" s="4"/>
      <c r="HT89" s="4"/>
      <c r="HU89" s="4"/>
      <c r="HV89" s="4"/>
      <c r="HW89" s="4"/>
      <c r="HX89" s="4"/>
      <c r="HY89" s="4"/>
      <c r="HZ89" s="4"/>
      <c r="IA89" s="4"/>
      <c r="IB89" s="4"/>
      <c r="IC89" s="4"/>
      <c r="ID89" s="4"/>
      <c r="IE89" s="4"/>
      <c r="IF89" s="4"/>
      <c r="IG89" s="4"/>
      <c r="IH89" s="4"/>
      <c r="II89" s="4"/>
      <c r="IJ89" s="4"/>
      <c r="IK89" s="4"/>
      <c r="IL89" s="4"/>
      <c r="IM89" s="4"/>
      <c r="IN89" s="4"/>
      <c r="IO89" s="4"/>
      <c r="IP89" s="4"/>
      <c r="IQ89" s="4"/>
      <c r="IR89" s="4"/>
      <c r="IS89" s="4"/>
      <c r="IT89" s="4"/>
      <c r="IU89" s="4"/>
      <c r="IV89" s="4"/>
      <c r="IW89" s="4"/>
      <c r="IX89" s="4"/>
      <c r="IY89" s="4"/>
      <c r="IZ89" s="4"/>
      <c r="JA89" s="4"/>
      <c r="JB89" s="4"/>
      <c r="JC89" s="4"/>
      <c r="JD89" s="4"/>
      <c r="JE89" s="4"/>
      <c r="JF89" s="4"/>
      <c r="JG89" s="4"/>
      <c r="JH89" s="4"/>
      <c r="JI89" s="4"/>
      <c r="JJ89" s="4"/>
      <c r="JK89" s="4"/>
      <c r="JL89" s="4"/>
      <c r="JM89" s="4"/>
      <c r="JN89" s="4"/>
      <c r="JO89" s="4"/>
      <c r="JP89" s="4"/>
      <c r="JQ89" s="4"/>
      <c r="JR89" s="4"/>
      <c r="JS89" s="4"/>
      <c r="JT89" s="4"/>
      <c r="JU89" s="4"/>
      <c r="JV89" s="4"/>
      <c r="JW89" s="4"/>
      <c r="JX89" s="4"/>
      <c r="JY89" s="4"/>
      <c r="JZ89" s="4"/>
      <c r="KA89" s="4"/>
      <c r="KB89" s="4"/>
      <c r="KC89" s="4"/>
      <c r="KD89" s="4"/>
      <c r="KE89" s="4"/>
      <c r="KF89" s="4"/>
      <c r="KG89" s="4"/>
      <c r="KH89" s="4"/>
      <c r="KI89" s="4"/>
      <c r="KJ89" s="4"/>
      <c r="KK89" s="4"/>
      <c r="KL89" s="4"/>
      <c r="KM89" s="4"/>
      <c r="KN89" s="4"/>
      <c r="KO89" s="4"/>
      <c r="KP89" s="4"/>
      <c r="KQ89" s="4"/>
      <c r="KR89" s="4"/>
      <c r="KS89" s="4"/>
      <c r="KT89" s="4"/>
      <c r="KU89" s="4"/>
      <c r="KV89" s="4"/>
      <c r="KW89" s="4"/>
      <c r="KX89" s="4"/>
      <c r="KY89" s="4"/>
      <c r="KZ89" s="4"/>
      <c r="LA89" s="4"/>
      <c r="LB89" s="4"/>
      <c r="LC89" s="4"/>
      <c r="LD89" s="4"/>
    </row>
    <row r="90" spans="1:316" s="15" customFormat="1" ht="15" thickBot="1" x14ac:dyDescent="0.35">
      <c r="A90" s="19" t="s">
        <v>111</v>
      </c>
      <c r="B90" s="18"/>
      <c r="C90" s="18"/>
      <c r="D90" s="18">
        <f>SUM(D81:D89)</f>
        <v>16164.4</v>
      </c>
      <c r="E90" s="17">
        <f>SUM(E81:E89)</f>
        <v>781150.63500000001</v>
      </c>
      <c r="F90" s="16"/>
      <c r="G90"/>
      <c r="H90"/>
      <c r="I90"/>
      <c r="J90"/>
      <c r="K90"/>
      <c r="L90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  <c r="EB90" s="4"/>
      <c r="EC90" s="4"/>
      <c r="ED90" s="4"/>
      <c r="EE90" s="4"/>
      <c r="EF90" s="4"/>
      <c r="EG90" s="4"/>
      <c r="EH90" s="4"/>
      <c r="EI90" s="4"/>
      <c r="EJ90" s="4"/>
      <c r="EK90" s="4"/>
      <c r="EL90" s="4"/>
      <c r="EM90" s="4"/>
      <c r="EN90" s="4"/>
      <c r="EO90" s="4"/>
      <c r="EP90" s="4"/>
      <c r="EQ90" s="4"/>
      <c r="ER90" s="4"/>
      <c r="ES90" s="4"/>
      <c r="ET90" s="4"/>
      <c r="EU90" s="4"/>
      <c r="EV90" s="4"/>
      <c r="EW90" s="4"/>
      <c r="EX90" s="4"/>
      <c r="EY90" s="4"/>
      <c r="EZ90" s="4"/>
      <c r="FA90" s="4"/>
      <c r="FB90" s="4"/>
      <c r="FC90" s="4"/>
      <c r="FD90" s="4"/>
      <c r="FE90" s="4"/>
      <c r="FF90" s="4"/>
      <c r="FG90" s="4"/>
      <c r="FH90" s="4"/>
      <c r="FI90" s="4"/>
      <c r="FJ90" s="4"/>
      <c r="FK90" s="4"/>
      <c r="FL90" s="4"/>
      <c r="FM90" s="4"/>
      <c r="FN90" s="4"/>
      <c r="FO90" s="4"/>
      <c r="FP90" s="4"/>
      <c r="FQ90" s="4"/>
      <c r="FR90" s="4"/>
      <c r="FS90" s="4"/>
      <c r="FT90" s="4"/>
      <c r="FU90" s="4"/>
      <c r="FV90" s="4"/>
      <c r="FW90" s="4"/>
      <c r="FX90" s="4"/>
      <c r="FY90" s="4"/>
      <c r="FZ90" s="4"/>
      <c r="GA90" s="4"/>
      <c r="GB90" s="4"/>
      <c r="GC90" s="4"/>
      <c r="GD90" s="4"/>
      <c r="GE90" s="4"/>
      <c r="GF90" s="4"/>
      <c r="GG90" s="4"/>
      <c r="GH90" s="4"/>
      <c r="GI90" s="4"/>
      <c r="GJ90" s="4"/>
      <c r="GK90" s="4"/>
      <c r="GL90" s="4"/>
      <c r="GM90" s="4"/>
      <c r="GN90" s="4"/>
      <c r="GO90" s="4"/>
      <c r="GP90" s="4"/>
      <c r="GQ90" s="4"/>
      <c r="GR90" s="4"/>
      <c r="GS90" s="4"/>
      <c r="GT90" s="4"/>
      <c r="GU90" s="4"/>
      <c r="GV90" s="4"/>
      <c r="GW90" s="4"/>
      <c r="GX90" s="4"/>
      <c r="GY90" s="4"/>
      <c r="GZ90" s="4"/>
      <c r="HA90" s="4"/>
      <c r="HB90" s="4"/>
      <c r="HC90" s="4"/>
      <c r="HD90" s="4"/>
      <c r="HE90" s="4"/>
      <c r="HF90" s="4"/>
      <c r="HG90" s="4"/>
      <c r="HH90" s="4"/>
      <c r="HI90" s="4"/>
      <c r="HJ90" s="4"/>
      <c r="HK90" s="4"/>
      <c r="HL90" s="4"/>
      <c r="HM90" s="4"/>
      <c r="HN90" s="4"/>
      <c r="HO90" s="4"/>
      <c r="HP90" s="4"/>
      <c r="HQ90" s="4"/>
      <c r="HR90" s="4"/>
      <c r="HS90" s="4"/>
      <c r="HT90" s="4"/>
      <c r="HU90" s="4"/>
      <c r="HV90" s="4"/>
      <c r="HW90" s="4"/>
      <c r="HX90" s="4"/>
      <c r="HY90" s="4"/>
      <c r="HZ90" s="4"/>
      <c r="IA90" s="4"/>
      <c r="IB90" s="4"/>
      <c r="IC90" s="4"/>
      <c r="ID90" s="4"/>
      <c r="IE90" s="4"/>
      <c r="IF90" s="4"/>
      <c r="IG90" s="4"/>
      <c r="IH90" s="4"/>
      <c r="II90" s="4"/>
      <c r="IJ90" s="4"/>
      <c r="IK90" s="4"/>
      <c r="IL90" s="4"/>
      <c r="IM90" s="4"/>
      <c r="IN90" s="4"/>
      <c r="IO90" s="4"/>
      <c r="IP90" s="4"/>
      <c r="IQ90" s="4"/>
      <c r="IR90" s="4"/>
      <c r="IS90" s="4"/>
      <c r="IT90" s="4"/>
      <c r="IU90" s="4"/>
      <c r="IV90" s="4"/>
      <c r="IW90" s="4"/>
      <c r="IX90" s="4"/>
      <c r="IY90" s="4"/>
      <c r="IZ90" s="4"/>
      <c r="JA90" s="4"/>
      <c r="JB90" s="4"/>
      <c r="JC90" s="4"/>
      <c r="JD90" s="4"/>
      <c r="JE90" s="4"/>
      <c r="JF90" s="4"/>
      <c r="JG90" s="4"/>
      <c r="JH90" s="4"/>
      <c r="JI90" s="4"/>
      <c r="JJ90" s="4"/>
      <c r="JK90" s="4"/>
      <c r="JL90" s="4"/>
      <c r="JM90" s="4"/>
      <c r="JN90" s="4"/>
      <c r="JO90" s="4"/>
      <c r="JP90" s="4"/>
      <c r="JQ90" s="4"/>
      <c r="JR90" s="4"/>
      <c r="JS90" s="4"/>
      <c r="JT90" s="4"/>
      <c r="JU90" s="4"/>
      <c r="JV90" s="4"/>
      <c r="JW90" s="4"/>
      <c r="JX90" s="4"/>
      <c r="JY90" s="4"/>
      <c r="JZ90" s="4"/>
      <c r="KA90" s="4"/>
      <c r="KB90" s="4"/>
      <c r="KC90" s="4"/>
      <c r="KD90" s="4"/>
      <c r="KE90" s="4"/>
      <c r="KF90" s="4"/>
      <c r="KG90" s="4"/>
      <c r="KH90" s="4"/>
      <c r="KI90" s="4"/>
      <c r="KJ90" s="4"/>
      <c r="KK90" s="4"/>
      <c r="KL90" s="4"/>
      <c r="KM90" s="4"/>
      <c r="KN90" s="4"/>
      <c r="KO90" s="4"/>
      <c r="KP90" s="4"/>
      <c r="KQ90" s="4"/>
      <c r="KR90" s="4"/>
      <c r="KS90" s="4"/>
      <c r="KT90" s="4"/>
      <c r="KU90" s="4"/>
      <c r="KV90" s="4"/>
      <c r="KW90" s="4"/>
      <c r="KX90" s="4"/>
      <c r="KY90" s="4"/>
      <c r="KZ90" s="4"/>
      <c r="LA90" s="4"/>
      <c r="LB90" s="4"/>
      <c r="LC90" s="4"/>
      <c r="LD90" s="4"/>
    </row>
  </sheetData>
  <pageMargins left="0.7" right="0.7" top="0.75" bottom="0.75" header="0.3" footer="0.3"/>
  <pageSetup paperSize="9" orientation="landscape" r:id="rId1"/>
  <rowBreaks count="2" manualBreakCount="2">
    <brk id="24" max="16383" man="1"/>
    <brk id="50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2"/>
  <sheetViews>
    <sheetView topLeftCell="L1" workbookViewId="0">
      <selection activeCell="O10" sqref="O10"/>
    </sheetView>
  </sheetViews>
  <sheetFormatPr defaultRowHeight="14.4" x14ac:dyDescent="0.3"/>
  <cols>
    <col min="1" max="1" width="3" bestFit="1" customWidth="1"/>
    <col min="2" max="2" width="4" bestFit="1" customWidth="1"/>
    <col min="3" max="3" width="3" bestFit="1" customWidth="1"/>
    <col min="4" max="4" width="38.5546875" customWidth="1"/>
    <col min="5" max="5" width="23.77734375" bestFit="1" customWidth="1"/>
    <col min="9" max="9" width="9.44140625" bestFit="1" customWidth="1"/>
    <col min="10" max="10" width="14.44140625" bestFit="1" customWidth="1"/>
    <col min="11" max="11" width="10.44140625" bestFit="1" customWidth="1"/>
    <col min="12" max="12" width="14.109375" customWidth="1"/>
    <col min="14" max="14" width="8.88671875" bestFit="1" customWidth="1"/>
    <col min="15" max="15" width="33" bestFit="1" customWidth="1"/>
    <col min="16" max="16" width="11.77734375" bestFit="1" customWidth="1"/>
    <col min="17" max="17" width="21.6640625" bestFit="1" customWidth="1"/>
    <col min="18" max="18" width="23.77734375" bestFit="1" customWidth="1"/>
  </cols>
  <sheetData>
    <row r="1" spans="1:16" ht="15" thickBot="1" x14ac:dyDescent="0.35">
      <c r="A1" s="130" t="s">
        <v>191</v>
      </c>
      <c r="B1" s="131"/>
      <c r="C1" s="131"/>
      <c r="D1" s="131"/>
      <c r="E1" s="131"/>
      <c r="F1" s="131"/>
      <c r="G1" s="131"/>
      <c r="H1" s="131"/>
      <c r="I1" s="131"/>
      <c r="J1" s="131"/>
      <c r="K1" s="132"/>
      <c r="L1" s="125" t="s">
        <v>213</v>
      </c>
      <c r="N1" s="127" t="s">
        <v>203</v>
      </c>
      <c r="O1" s="128"/>
      <c r="P1" s="129"/>
    </row>
    <row r="2" spans="1:16" x14ac:dyDescent="0.3">
      <c r="A2" s="12" t="s">
        <v>0</v>
      </c>
      <c r="B2" s="13" t="s">
        <v>1</v>
      </c>
      <c r="C2" s="13" t="s">
        <v>2</v>
      </c>
      <c r="D2" s="13" t="s">
        <v>15</v>
      </c>
      <c r="E2" s="13" t="s">
        <v>19</v>
      </c>
      <c r="F2" s="13" t="s">
        <v>16</v>
      </c>
      <c r="G2" s="13" t="s">
        <v>17</v>
      </c>
      <c r="H2" s="13" t="s">
        <v>18</v>
      </c>
      <c r="I2" s="13" t="s">
        <v>3</v>
      </c>
      <c r="J2" s="13" t="s">
        <v>5</v>
      </c>
      <c r="K2" s="14" t="s">
        <v>4</v>
      </c>
      <c r="L2" s="118"/>
      <c r="N2" s="119" t="s">
        <v>205</v>
      </c>
      <c r="O2" s="118" t="s">
        <v>204</v>
      </c>
      <c r="P2" s="120" t="s">
        <v>4</v>
      </c>
    </row>
    <row r="3" spans="1:16" x14ac:dyDescent="0.3">
      <c r="A3" s="5" t="s">
        <v>6</v>
      </c>
      <c r="B3" s="6"/>
      <c r="C3" s="6"/>
      <c r="D3" s="7" t="s">
        <v>20</v>
      </c>
      <c r="H3" s="111" t="str">
        <f t="shared" ref="H3:H34" si="0">_xlfn.XLOOKUP(E3,$Q$20:$Q$25,$R$20:$R$25,"")</f>
        <v/>
      </c>
      <c r="I3" s="111" t="str">
        <f>IFERROR(H3*F3,"")</f>
        <v/>
      </c>
      <c r="K3" s="115">
        <f>SUM(J4:J19)</f>
        <v>1493.463760343242</v>
      </c>
      <c r="L3" s="110" t="str">
        <f>IFERROR(I3+($P$10*F3),"")</f>
        <v/>
      </c>
      <c r="N3" s="5" t="s">
        <v>6</v>
      </c>
      <c r="O3" t="s">
        <v>206</v>
      </c>
      <c r="P3" s="121">
        <f>K74</f>
        <v>13026.517352669423</v>
      </c>
    </row>
    <row r="4" spans="1:16" x14ac:dyDescent="0.3">
      <c r="A4" s="5"/>
      <c r="B4" s="6" t="s">
        <v>7</v>
      </c>
      <c r="C4" s="6"/>
      <c r="D4" s="1" t="s">
        <v>21</v>
      </c>
      <c r="E4" t="s">
        <v>104</v>
      </c>
      <c r="F4">
        <v>2</v>
      </c>
      <c r="G4" t="s">
        <v>103</v>
      </c>
      <c r="H4" s="111">
        <f t="shared" si="0"/>
        <v>49.782125344774748</v>
      </c>
      <c r="I4" s="111">
        <f t="shared" ref="I4:I67" si="1">IFERROR(H4*F4,"")</f>
        <v>99.564250689549496</v>
      </c>
      <c r="J4" s="111">
        <f>I4</f>
        <v>99.564250689549496</v>
      </c>
      <c r="K4" s="112"/>
      <c r="L4" s="110">
        <f t="shared" ref="L4:L67" si="2">IFERROR(I4+($P$10*F4),"")</f>
        <v>122.72425068954949</v>
      </c>
      <c r="N4" s="5" t="s">
        <v>8</v>
      </c>
      <c r="O4" t="s">
        <v>207</v>
      </c>
      <c r="P4" s="121">
        <f>K81</f>
        <v>172.5</v>
      </c>
    </row>
    <row r="5" spans="1:16" x14ac:dyDescent="0.3">
      <c r="A5" s="5"/>
      <c r="B5" s="6" t="s">
        <v>13</v>
      </c>
      <c r="C5" s="6"/>
      <c r="D5" s="1" t="s">
        <v>22</v>
      </c>
      <c r="E5" t="s">
        <v>104</v>
      </c>
      <c r="F5">
        <v>2</v>
      </c>
      <c r="G5" t="s">
        <v>103</v>
      </c>
      <c r="H5" s="111">
        <f t="shared" si="0"/>
        <v>49.782125344774748</v>
      </c>
      <c r="I5" s="111">
        <f t="shared" si="1"/>
        <v>99.564250689549496</v>
      </c>
      <c r="J5" s="111">
        <f>I5</f>
        <v>99.564250689549496</v>
      </c>
      <c r="K5" s="112"/>
      <c r="L5" s="110">
        <f t="shared" si="2"/>
        <v>122.72425068954949</v>
      </c>
      <c r="N5" s="5" t="s">
        <v>9</v>
      </c>
      <c r="O5" t="s">
        <v>208</v>
      </c>
      <c r="P5" s="112">
        <f>0.25*(P3+P4)</f>
        <v>3299.7543381673559</v>
      </c>
    </row>
    <row r="6" spans="1:16" x14ac:dyDescent="0.3">
      <c r="A6" s="5"/>
      <c r="B6" s="6" t="s">
        <v>14</v>
      </c>
      <c r="C6" s="6"/>
      <c r="D6" s="1" t="s">
        <v>23</v>
      </c>
      <c r="H6" s="111" t="str">
        <f t="shared" si="0"/>
        <v/>
      </c>
      <c r="I6" s="111" t="str">
        <f t="shared" si="1"/>
        <v/>
      </c>
      <c r="J6" s="111">
        <f>SUM(I7:I19)</f>
        <v>1294.3352589641431</v>
      </c>
      <c r="K6" s="112"/>
      <c r="L6" s="110"/>
      <c r="N6" s="127" t="s">
        <v>115</v>
      </c>
      <c r="O6" s="128"/>
      <c r="P6" s="122">
        <f>SUM(P3:P5)</f>
        <v>16498.77169083678</v>
      </c>
    </row>
    <row r="7" spans="1:16" x14ac:dyDescent="0.3">
      <c r="A7" s="5"/>
      <c r="B7" s="6"/>
      <c r="C7" s="6" t="s">
        <v>6</v>
      </c>
      <c r="D7" s="1" t="s">
        <v>24</v>
      </c>
      <c r="E7" t="s">
        <v>104</v>
      </c>
      <c r="F7">
        <v>2</v>
      </c>
      <c r="G7" t="s">
        <v>103</v>
      </c>
      <c r="H7" s="111">
        <f t="shared" si="0"/>
        <v>49.782125344774748</v>
      </c>
      <c r="I7" s="111">
        <f t="shared" si="1"/>
        <v>99.564250689549496</v>
      </c>
      <c r="J7" s="111"/>
      <c r="K7" s="112"/>
      <c r="L7" s="110">
        <f t="shared" si="2"/>
        <v>122.72425068954949</v>
      </c>
    </row>
    <row r="8" spans="1:16" x14ac:dyDescent="0.3">
      <c r="A8" s="5"/>
      <c r="B8" s="6"/>
      <c r="C8" s="6" t="s">
        <v>8</v>
      </c>
      <c r="D8" s="1" t="s">
        <v>25</v>
      </c>
      <c r="E8" t="s">
        <v>104</v>
      </c>
      <c r="F8">
        <v>2</v>
      </c>
      <c r="G8" t="s">
        <v>103</v>
      </c>
      <c r="H8" s="111">
        <f t="shared" si="0"/>
        <v>49.782125344774748</v>
      </c>
      <c r="I8" s="111">
        <f t="shared" si="1"/>
        <v>99.564250689549496</v>
      </c>
      <c r="J8" s="111"/>
      <c r="K8" s="112"/>
      <c r="L8" s="110">
        <f t="shared" si="2"/>
        <v>122.72425068954949</v>
      </c>
      <c r="O8" t="s">
        <v>211</v>
      </c>
      <c r="P8" s="111">
        <f>P6-P3</f>
        <v>3472.2543381673568</v>
      </c>
    </row>
    <row r="9" spans="1:16" x14ac:dyDescent="0.3">
      <c r="A9" s="5"/>
      <c r="B9" s="6"/>
      <c r="C9" s="6" t="s">
        <v>9</v>
      </c>
      <c r="D9" s="1" t="s">
        <v>26</v>
      </c>
      <c r="E9" t="s">
        <v>104</v>
      </c>
      <c r="F9">
        <v>2</v>
      </c>
      <c r="G9" t="s">
        <v>103</v>
      </c>
      <c r="H9" s="111">
        <f t="shared" si="0"/>
        <v>49.782125344774748</v>
      </c>
      <c r="I9" s="111">
        <f t="shared" si="1"/>
        <v>99.564250689549496</v>
      </c>
      <c r="J9" s="111"/>
      <c r="K9" s="112"/>
      <c r="L9" s="110">
        <f t="shared" si="2"/>
        <v>122.72425068954949</v>
      </c>
      <c r="O9" t="s">
        <v>214</v>
      </c>
      <c r="P9" s="126">
        <f>SUM(F4:F73)</f>
        <v>300</v>
      </c>
    </row>
    <row r="10" spans="1:16" x14ac:dyDescent="0.3">
      <c r="A10" s="5"/>
      <c r="B10" s="6"/>
      <c r="C10" s="6" t="s">
        <v>10</v>
      </c>
      <c r="D10" s="1" t="s">
        <v>27</v>
      </c>
      <c r="E10" t="s">
        <v>104</v>
      </c>
      <c r="F10">
        <v>2</v>
      </c>
      <c r="G10" t="s">
        <v>103</v>
      </c>
      <c r="H10" s="111">
        <f t="shared" si="0"/>
        <v>49.782125344774748</v>
      </c>
      <c r="I10" s="111">
        <f t="shared" si="1"/>
        <v>99.564250689549496</v>
      </c>
      <c r="J10" s="111"/>
      <c r="K10" s="112"/>
      <c r="L10" s="110">
        <f t="shared" si="2"/>
        <v>122.72425068954949</v>
      </c>
      <c r="O10" t="s">
        <v>215</v>
      </c>
      <c r="P10" s="123">
        <f>ROUNDUP(P8/P9,2)</f>
        <v>11.58</v>
      </c>
    </row>
    <row r="11" spans="1:16" x14ac:dyDescent="0.3">
      <c r="A11" s="5"/>
      <c r="B11" s="6"/>
      <c r="C11" s="6" t="s">
        <v>11</v>
      </c>
      <c r="D11" s="1" t="s">
        <v>28</v>
      </c>
      <c r="E11" t="s">
        <v>104</v>
      </c>
      <c r="F11">
        <v>2</v>
      </c>
      <c r="G11" t="s">
        <v>103</v>
      </c>
      <c r="H11" s="111">
        <f t="shared" si="0"/>
        <v>49.782125344774748</v>
      </c>
      <c r="I11" s="111">
        <f t="shared" si="1"/>
        <v>99.564250689549496</v>
      </c>
      <c r="J11" s="111"/>
      <c r="K11" s="112"/>
      <c r="L11" s="110">
        <f t="shared" si="2"/>
        <v>122.72425068954949</v>
      </c>
    </row>
    <row r="12" spans="1:16" x14ac:dyDescent="0.3">
      <c r="A12" s="5"/>
      <c r="B12" s="6"/>
      <c r="C12" s="6" t="s">
        <v>12</v>
      </c>
      <c r="D12" s="1" t="s">
        <v>29</v>
      </c>
      <c r="E12" t="s">
        <v>104</v>
      </c>
      <c r="F12">
        <v>2</v>
      </c>
      <c r="G12" t="s">
        <v>103</v>
      </c>
      <c r="H12" s="111">
        <f t="shared" si="0"/>
        <v>49.782125344774748</v>
      </c>
      <c r="I12" s="111">
        <f t="shared" si="1"/>
        <v>99.564250689549496</v>
      </c>
      <c r="J12" s="111"/>
      <c r="K12" s="112"/>
      <c r="L12" s="110">
        <f t="shared" si="2"/>
        <v>122.72425068954949</v>
      </c>
    </row>
    <row r="13" spans="1:16" x14ac:dyDescent="0.3">
      <c r="A13" s="5"/>
      <c r="B13" s="6"/>
      <c r="C13" s="6" t="s">
        <v>87</v>
      </c>
      <c r="D13" s="1" t="s">
        <v>30</v>
      </c>
      <c r="E13" t="s">
        <v>104</v>
      </c>
      <c r="F13">
        <v>2</v>
      </c>
      <c r="G13" t="s">
        <v>103</v>
      </c>
      <c r="H13" s="111">
        <f t="shared" si="0"/>
        <v>49.782125344774748</v>
      </c>
      <c r="I13" s="111">
        <f t="shared" si="1"/>
        <v>99.564250689549496</v>
      </c>
      <c r="J13" s="111"/>
      <c r="K13" s="112"/>
      <c r="L13" s="110">
        <f t="shared" si="2"/>
        <v>122.72425068954949</v>
      </c>
    </row>
    <row r="14" spans="1:16" x14ac:dyDescent="0.3">
      <c r="A14" s="5"/>
      <c r="B14" s="6"/>
      <c r="C14" s="6" t="s">
        <v>88</v>
      </c>
      <c r="D14" s="1" t="s">
        <v>31</v>
      </c>
      <c r="E14" t="s">
        <v>104</v>
      </c>
      <c r="F14">
        <v>2</v>
      </c>
      <c r="G14" t="s">
        <v>103</v>
      </c>
      <c r="H14" s="111">
        <f t="shared" si="0"/>
        <v>49.782125344774748</v>
      </c>
      <c r="I14" s="111">
        <f t="shared" si="1"/>
        <v>99.564250689549496</v>
      </c>
      <c r="J14" s="111"/>
      <c r="K14" s="112"/>
      <c r="L14" s="110">
        <f t="shared" si="2"/>
        <v>122.72425068954949</v>
      </c>
    </row>
    <row r="15" spans="1:16" x14ac:dyDescent="0.3">
      <c r="A15" s="5"/>
      <c r="B15" s="6"/>
      <c r="C15" s="6" t="s">
        <v>89</v>
      </c>
      <c r="D15" s="1" t="s">
        <v>32</v>
      </c>
      <c r="E15" t="s">
        <v>104</v>
      </c>
      <c r="F15">
        <v>2</v>
      </c>
      <c r="G15" t="s">
        <v>103</v>
      </c>
      <c r="H15" s="111">
        <f t="shared" si="0"/>
        <v>49.782125344774748</v>
      </c>
      <c r="I15" s="111">
        <f t="shared" si="1"/>
        <v>99.564250689549496</v>
      </c>
      <c r="J15" s="111"/>
      <c r="K15" s="112"/>
      <c r="L15" s="110">
        <f t="shared" si="2"/>
        <v>122.72425068954949</v>
      </c>
    </row>
    <row r="16" spans="1:16" x14ac:dyDescent="0.3">
      <c r="A16" s="5"/>
      <c r="B16" s="6"/>
      <c r="C16" s="6" t="s">
        <v>90</v>
      </c>
      <c r="D16" s="1" t="s">
        <v>33</v>
      </c>
      <c r="E16" t="s">
        <v>104</v>
      </c>
      <c r="F16">
        <v>2</v>
      </c>
      <c r="G16" t="s">
        <v>103</v>
      </c>
      <c r="H16" s="111">
        <f t="shared" si="0"/>
        <v>49.782125344774748</v>
      </c>
      <c r="I16" s="111">
        <f t="shared" si="1"/>
        <v>99.564250689549496</v>
      </c>
      <c r="J16" s="111"/>
      <c r="K16" s="112"/>
      <c r="L16" s="110">
        <f t="shared" si="2"/>
        <v>122.72425068954949</v>
      </c>
    </row>
    <row r="17" spans="1:18" x14ac:dyDescent="0.3">
      <c r="A17" s="5"/>
      <c r="B17" s="6"/>
      <c r="C17" s="6" t="s">
        <v>91</v>
      </c>
      <c r="D17" s="1" t="s">
        <v>34</v>
      </c>
      <c r="E17" t="s">
        <v>104</v>
      </c>
      <c r="F17">
        <v>2</v>
      </c>
      <c r="G17" t="s">
        <v>103</v>
      </c>
      <c r="H17" s="111">
        <f t="shared" si="0"/>
        <v>49.782125344774748</v>
      </c>
      <c r="I17" s="111">
        <f t="shared" si="1"/>
        <v>99.564250689549496</v>
      </c>
      <c r="J17" s="111"/>
      <c r="K17" s="112"/>
      <c r="L17" s="110">
        <f t="shared" si="2"/>
        <v>122.72425068954949</v>
      </c>
    </row>
    <row r="18" spans="1:18" x14ac:dyDescent="0.3">
      <c r="A18" s="5"/>
      <c r="B18" s="6"/>
      <c r="C18" s="6" t="s">
        <v>92</v>
      </c>
      <c r="D18" s="1" t="s">
        <v>35</v>
      </c>
      <c r="E18" t="s">
        <v>104</v>
      </c>
      <c r="F18">
        <v>2</v>
      </c>
      <c r="G18" t="s">
        <v>103</v>
      </c>
      <c r="H18" s="111">
        <f t="shared" si="0"/>
        <v>49.782125344774748</v>
      </c>
      <c r="I18" s="111">
        <f t="shared" si="1"/>
        <v>99.564250689549496</v>
      </c>
      <c r="J18" s="111"/>
      <c r="K18" s="112"/>
      <c r="L18" s="110">
        <f t="shared" si="2"/>
        <v>122.72425068954949</v>
      </c>
    </row>
    <row r="19" spans="1:18" x14ac:dyDescent="0.3">
      <c r="A19" s="5"/>
      <c r="B19" s="6"/>
      <c r="C19" s="6" t="s">
        <v>93</v>
      </c>
      <c r="D19" s="1" t="s">
        <v>36</v>
      </c>
      <c r="E19" t="s">
        <v>104</v>
      </c>
      <c r="F19">
        <v>2</v>
      </c>
      <c r="G19" t="s">
        <v>103</v>
      </c>
      <c r="H19" s="111">
        <f t="shared" si="0"/>
        <v>49.782125344774748</v>
      </c>
      <c r="I19" s="111">
        <f t="shared" si="1"/>
        <v>99.564250689549496</v>
      </c>
      <c r="J19" s="111"/>
      <c r="K19" s="112"/>
      <c r="L19" s="110">
        <f t="shared" si="2"/>
        <v>122.72425068954949</v>
      </c>
      <c r="Q19" s="7" t="s">
        <v>105</v>
      </c>
      <c r="R19" t="s">
        <v>190</v>
      </c>
    </row>
    <row r="20" spans="1:18" x14ac:dyDescent="0.3">
      <c r="A20" s="5" t="s">
        <v>8</v>
      </c>
      <c r="B20" s="6"/>
      <c r="C20" s="6"/>
      <c r="D20" s="7" t="s">
        <v>37</v>
      </c>
      <c r="H20" s="111" t="str">
        <f t="shared" si="0"/>
        <v/>
      </c>
      <c r="I20" s="111" t="str">
        <f t="shared" si="1"/>
        <v/>
      </c>
      <c r="J20" s="111"/>
      <c r="K20" s="112">
        <f>SUM(J21:J30)</f>
        <v>2307.2124370166389</v>
      </c>
      <c r="L20" s="110" t="str">
        <f t="shared" si="2"/>
        <v/>
      </c>
      <c r="Q20" t="s">
        <v>104</v>
      </c>
      <c r="R20" s="110">
        <f>'Company definition'!F82</f>
        <v>49.782125344774748</v>
      </c>
    </row>
    <row r="21" spans="1:18" x14ac:dyDescent="0.3">
      <c r="A21" s="5"/>
      <c r="B21" s="6" t="s">
        <v>7</v>
      </c>
      <c r="C21" s="6"/>
      <c r="D21" s="1" t="s">
        <v>38</v>
      </c>
      <c r="E21" t="s">
        <v>106</v>
      </c>
      <c r="F21">
        <v>1</v>
      </c>
      <c r="G21" t="s">
        <v>103</v>
      </c>
      <c r="H21" s="111">
        <f t="shared" si="0"/>
        <v>42.159269173306768</v>
      </c>
      <c r="I21" s="111">
        <f t="shared" si="1"/>
        <v>42.159269173306768</v>
      </c>
      <c r="J21" s="111">
        <f t="shared" ref="J21:J30" si="3">I21</f>
        <v>42.159269173306768</v>
      </c>
      <c r="K21" s="112"/>
      <c r="L21" s="110">
        <f t="shared" si="2"/>
        <v>53.739269173306766</v>
      </c>
      <c r="Q21" t="s">
        <v>107</v>
      </c>
      <c r="R21" s="110">
        <f>'Company definition'!F85</f>
        <v>45.220459339114129</v>
      </c>
    </row>
    <row r="22" spans="1:18" x14ac:dyDescent="0.3">
      <c r="A22" s="5"/>
      <c r="B22" s="6" t="s">
        <v>13</v>
      </c>
      <c r="C22" s="6"/>
      <c r="D22" s="1" t="s">
        <v>39</v>
      </c>
      <c r="E22" t="s">
        <v>107</v>
      </c>
      <c r="F22">
        <v>4</v>
      </c>
      <c r="G22" t="s">
        <v>103</v>
      </c>
      <c r="H22" s="111">
        <f t="shared" si="0"/>
        <v>45.220459339114129</v>
      </c>
      <c r="I22" s="111">
        <f t="shared" si="1"/>
        <v>180.88183735645651</v>
      </c>
      <c r="J22" s="111">
        <f t="shared" si="3"/>
        <v>180.88183735645651</v>
      </c>
      <c r="K22" s="112"/>
      <c r="L22" s="110">
        <f t="shared" si="2"/>
        <v>227.20183735645651</v>
      </c>
      <c r="Q22" t="s">
        <v>106</v>
      </c>
      <c r="R22" s="110">
        <f>'Company definition'!F84</f>
        <v>42.159269173306768</v>
      </c>
    </row>
    <row r="23" spans="1:18" x14ac:dyDescent="0.3">
      <c r="A23" s="5"/>
      <c r="B23" s="6" t="s">
        <v>14</v>
      </c>
      <c r="C23" s="6"/>
      <c r="D23" s="1" t="s">
        <v>40</v>
      </c>
      <c r="E23" t="s">
        <v>106</v>
      </c>
      <c r="F23">
        <v>2</v>
      </c>
      <c r="G23" t="s">
        <v>103</v>
      </c>
      <c r="H23" s="111">
        <f t="shared" si="0"/>
        <v>42.159269173306768</v>
      </c>
      <c r="I23" s="111">
        <f t="shared" si="1"/>
        <v>84.318538346613536</v>
      </c>
      <c r="J23" s="111">
        <f t="shared" si="3"/>
        <v>84.318538346613536</v>
      </c>
      <c r="K23" s="112"/>
      <c r="L23" s="110">
        <f t="shared" si="2"/>
        <v>107.47853834661353</v>
      </c>
      <c r="Q23" t="s">
        <v>108</v>
      </c>
      <c r="R23" s="110">
        <f>'Company definition'!F86</f>
        <v>49.154057104913683</v>
      </c>
    </row>
    <row r="24" spans="1:18" x14ac:dyDescent="0.3">
      <c r="A24" s="5"/>
      <c r="B24" s="6" t="s">
        <v>94</v>
      </c>
      <c r="C24" s="6"/>
      <c r="D24" s="1" t="s">
        <v>41</v>
      </c>
      <c r="E24" t="s">
        <v>106</v>
      </c>
      <c r="F24">
        <v>1</v>
      </c>
      <c r="G24" t="s">
        <v>103</v>
      </c>
      <c r="H24" s="111">
        <f t="shared" si="0"/>
        <v>42.159269173306768</v>
      </c>
      <c r="I24" s="111">
        <f t="shared" si="1"/>
        <v>42.159269173306768</v>
      </c>
      <c r="J24" s="111">
        <f t="shared" si="3"/>
        <v>42.159269173306768</v>
      </c>
      <c r="K24" s="112"/>
      <c r="L24" s="110">
        <f t="shared" si="2"/>
        <v>53.739269173306766</v>
      </c>
      <c r="Q24" t="s">
        <v>109</v>
      </c>
      <c r="R24" s="110">
        <f>'Company definition'!F87</f>
        <v>43.846666276072185</v>
      </c>
    </row>
    <row r="25" spans="1:18" x14ac:dyDescent="0.3">
      <c r="A25" s="5"/>
      <c r="B25" s="6" t="s">
        <v>95</v>
      </c>
      <c r="C25" s="6"/>
      <c r="D25" s="1" t="s">
        <v>42</v>
      </c>
      <c r="E25" t="s">
        <v>106</v>
      </c>
      <c r="F25">
        <v>2</v>
      </c>
      <c r="G25" t="s">
        <v>103</v>
      </c>
      <c r="H25" s="111">
        <f t="shared" si="0"/>
        <v>42.159269173306768</v>
      </c>
      <c r="I25" s="111">
        <f t="shared" si="1"/>
        <v>84.318538346613536</v>
      </c>
      <c r="J25" s="111">
        <f t="shared" si="3"/>
        <v>84.318538346613536</v>
      </c>
      <c r="K25" s="112"/>
      <c r="L25" s="110">
        <f t="shared" si="2"/>
        <v>107.47853834661353</v>
      </c>
      <c r="Q25" t="s">
        <v>110</v>
      </c>
      <c r="R25" s="110">
        <f>'Company definition'!F88</f>
        <v>38.551814171883898</v>
      </c>
    </row>
    <row r="26" spans="1:18" x14ac:dyDescent="0.3">
      <c r="A26" s="5"/>
      <c r="B26" s="6" t="s">
        <v>96</v>
      </c>
      <c r="C26" s="6"/>
      <c r="D26" s="1" t="s">
        <v>43</v>
      </c>
      <c r="E26" t="s">
        <v>107</v>
      </c>
      <c r="F26">
        <v>6</v>
      </c>
      <c r="G26" t="s">
        <v>103</v>
      </c>
      <c r="H26" s="111">
        <f t="shared" si="0"/>
        <v>45.220459339114129</v>
      </c>
      <c r="I26" s="111">
        <f t="shared" si="1"/>
        <v>271.32275603468474</v>
      </c>
      <c r="J26" s="111">
        <f t="shared" si="3"/>
        <v>271.32275603468474</v>
      </c>
      <c r="K26" s="112"/>
      <c r="L26" s="110">
        <f t="shared" si="2"/>
        <v>340.80275603468476</v>
      </c>
    </row>
    <row r="27" spans="1:18" x14ac:dyDescent="0.3">
      <c r="A27" s="5"/>
      <c r="B27" s="6" t="s">
        <v>97</v>
      </c>
      <c r="C27" s="6"/>
      <c r="D27" s="1" t="s">
        <v>44</v>
      </c>
      <c r="E27" t="s">
        <v>106</v>
      </c>
      <c r="F27">
        <v>22</v>
      </c>
      <c r="G27" t="s">
        <v>103</v>
      </c>
      <c r="H27" s="111">
        <f t="shared" si="0"/>
        <v>42.159269173306768</v>
      </c>
      <c r="I27" s="111">
        <f t="shared" si="1"/>
        <v>927.5039218127489</v>
      </c>
      <c r="J27" s="111">
        <f t="shared" si="3"/>
        <v>927.5039218127489</v>
      </c>
      <c r="K27" s="112"/>
      <c r="L27" s="110">
        <f t="shared" si="2"/>
        <v>1182.2639218127488</v>
      </c>
    </row>
    <row r="28" spans="1:18" x14ac:dyDescent="0.3">
      <c r="A28" s="5"/>
      <c r="B28" s="6" t="s">
        <v>98</v>
      </c>
      <c r="C28" s="6"/>
      <c r="D28" s="1" t="s">
        <v>45</v>
      </c>
      <c r="E28" t="s">
        <v>106</v>
      </c>
      <c r="F28">
        <v>6</v>
      </c>
      <c r="G28" t="s">
        <v>103</v>
      </c>
      <c r="H28" s="111">
        <f t="shared" si="0"/>
        <v>42.159269173306768</v>
      </c>
      <c r="I28" s="111">
        <f t="shared" si="1"/>
        <v>252.95561503984061</v>
      </c>
      <c r="J28" s="111">
        <f t="shared" si="3"/>
        <v>252.95561503984061</v>
      </c>
      <c r="K28" s="112"/>
      <c r="L28" s="110">
        <f t="shared" si="2"/>
        <v>322.43561503984063</v>
      </c>
    </row>
    <row r="29" spans="1:18" x14ac:dyDescent="0.3">
      <c r="A29" s="5"/>
      <c r="B29" s="6" t="s">
        <v>99</v>
      </c>
      <c r="C29" s="6"/>
      <c r="D29" s="1" t="s">
        <v>46</v>
      </c>
      <c r="E29" t="s">
        <v>106</v>
      </c>
      <c r="F29">
        <v>2</v>
      </c>
      <c r="G29" t="s">
        <v>103</v>
      </c>
      <c r="H29" s="111">
        <f t="shared" si="0"/>
        <v>42.159269173306768</v>
      </c>
      <c r="I29" s="111">
        <f t="shared" si="1"/>
        <v>84.318538346613536</v>
      </c>
      <c r="J29" s="111">
        <f t="shared" si="3"/>
        <v>84.318538346613536</v>
      </c>
      <c r="K29" s="112"/>
      <c r="L29" s="110">
        <f t="shared" si="2"/>
        <v>107.47853834661353</v>
      </c>
    </row>
    <row r="30" spans="1:18" x14ac:dyDescent="0.3">
      <c r="A30" s="5"/>
      <c r="B30" s="6" t="s">
        <v>100</v>
      </c>
      <c r="C30" s="6"/>
      <c r="D30" s="1" t="s">
        <v>47</v>
      </c>
      <c r="E30" t="s">
        <v>106</v>
      </c>
      <c r="F30">
        <v>8</v>
      </c>
      <c r="G30" t="s">
        <v>103</v>
      </c>
      <c r="H30" s="111">
        <f t="shared" si="0"/>
        <v>42.159269173306768</v>
      </c>
      <c r="I30" s="111">
        <f t="shared" si="1"/>
        <v>337.27415338645415</v>
      </c>
      <c r="J30" s="111">
        <f t="shared" si="3"/>
        <v>337.27415338645415</v>
      </c>
      <c r="K30" s="112"/>
      <c r="L30" s="110">
        <f t="shared" si="2"/>
        <v>429.91415338645413</v>
      </c>
    </row>
    <row r="31" spans="1:18" x14ac:dyDescent="0.3">
      <c r="A31" s="5" t="s">
        <v>9</v>
      </c>
      <c r="B31" s="6"/>
      <c r="C31" s="6"/>
      <c r="D31" s="7" t="s">
        <v>48</v>
      </c>
      <c r="H31" s="111" t="str">
        <f t="shared" si="0"/>
        <v/>
      </c>
      <c r="I31" s="111" t="str">
        <f t="shared" si="1"/>
        <v/>
      </c>
      <c r="J31" s="111"/>
      <c r="K31" s="112">
        <f>SUM(J32:J38)</f>
        <v>2273.3693320555312</v>
      </c>
      <c r="L31" s="110" t="str">
        <f t="shared" si="2"/>
        <v/>
      </c>
    </row>
    <row r="32" spans="1:18" x14ac:dyDescent="0.3">
      <c r="A32" s="5"/>
      <c r="B32" s="6" t="s">
        <v>7</v>
      </c>
      <c r="C32" s="6"/>
      <c r="D32" s="1" t="s">
        <v>49</v>
      </c>
      <c r="E32" t="s">
        <v>108</v>
      </c>
      <c r="F32">
        <v>10</v>
      </c>
      <c r="G32" t="s">
        <v>103</v>
      </c>
      <c r="H32" s="111">
        <f t="shared" si="0"/>
        <v>49.154057104913683</v>
      </c>
      <c r="I32" s="111">
        <f t="shared" si="1"/>
        <v>491.54057104913682</v>
      </c>
      <c r="J32" s="111">
        <f t="shared" ref="J32:J38" si="4">I32</f>
        <v>491.54057104913682</v>
      </c>
      <c r="K32" s="112"/>
      <c r="L32" s="110">
        <f t="shared" si="2"/>
        <v>607.34057104913677</v>
      </c>
    </row>
    <row r="33" spans="1:12" x14ac:dyDescent="0.3">
      <c r="A33" s="5"/>
      <c r="B33" s="6" t="s">
        <v>13</v>
      </c>
      <c r="C33" s="6"/>
      <c r="D33" s="1" t="s">
        <v>50</v>
      </c>
      <c r="E33" t="s">
        <v>110</v>
      </c>
      <c r="F33">
        <v>3</v>
      </c>
      <c r="G33" t="s">
        <v>103</v>
      </c>
      <c r="H33" s="111">
        <f t="shared" si="0"/>
        <v>38.551814171883898</v>
      </c>
      <c r="I33" s="111">
        <f t="shared" si="1"/>
        <v>115.65544251565169</v>
      </c>
      <c r="J33" s="111">
        <f t="shared" si="4"/>
        <v>115.65544251565169</v>
      </c>
      <c r="K33" s="112"/>
      <c r="L33" s="110">
        <f t="shared" si="2"/>
        <v>150.39544251565169</v>
      </c>
    </row>
    <row r="34" spans="1:12" x14ac:dyDescent="0.3">
      <c r="A34" s="5"/>
      <c r="B34" s="6" t="s">
        <v>14</v>
      </c>
      <c r="C34" s="6"/>
      <c r="D34" s="1" t="s">
        <v>51</v>
      </c>
      <c r="E34" t="s">
        <v>109</v>
      </c>
      <c r="F34">
        <v>8</v>
      </c>
      <c r="G34" t="s">
        <v>103</v>
      </c>
      <c r="H34" s="111">
        <f t="shared" si="0"/>
        <v>43.846666276072185</v>
      </c>
      <c r="I34" s="111">
        <f t="shared" si="1"/>
        <v>350.77333020857748</v>
      </c>
      <c r="J34" s="111">
        <f t="shared" si="4"/>
        <v>350.77333020857748</v>
      </c>
      <c r="K34" s="112"/>
      <c r="L34" s="110">
        <f t="shared" si="2"/>
        <v>443.41333020857746</v>
      </c>
    </row>
    <row r="35" spans="1:12" x14ac:dyDescent="0.3">
      <c r="A35" s="5"/>
      <c r="B35" s="6" t="s">
        <v>94</v>
      </c>
      <c r="C35" s="6"/>
      <c r="D35" s="1" t="s">
        <v>52</v>
      </c>
      <c r="E35" t="s">
        <v>109</v>
      </c>
      <c r="F35">
        <v>4</v>
      </c>
      <c r="G35" t="s">
        <v>103</v>
      </c>
      <c r="H35" s="111">
        <f t="shared" ref="H35:H66" si="5">_xlfn.XLOOKUP(E35,$Q$20:$Q$25,$R$20:$R$25,"")</f>
        <v>43.846666276072185</v>
      </c>
      <c r="I35" s="111">
        <f t="shared" si="1"/>
        <v>175.38666510428874</v>
      </c>
      <c r="J35" s="111">
        <f t="shared" si="4"/>
        <v>175.38666510428874</v>
      </c>
      <c r="K35" s="112"/>
      <c r="L35" s="110">
        <f t="shared" si="2"/>
        <v>221.70666510428873</v>
      </c>
    </row>
    <row r="36" spans="1:12" x14ac:dyDescent="0.3">
      <c r="A36" s="5"/>
      <c r="B36" s="6" t="s">
        <v>95</v>
      </c>
      <c r="C36" s="6"/>
      <c r="D36" s="1" t="s">
        <v>53</v>
      </c>
      <c r="E36" t="s">
        <v>109</v>
      </c>
      <c r="F36">
        <v>6</v>
      </c>
      <c r="G36" t="s">
        <v>103</v>
      </c>
      <c r="H36" s="111">
        <f t="shared" si="5"/>
        <v>43.846666276072185</v>
      </c>
      <c r="I36" s="111">
        <f t="shared" si="1"/>
        <v>263.07999765643308</v>
      </c>
      <c r="J36" s="111">
        <f t="shared" si="4"/>
        <v>263.07999765643308</v>
      </c>
      <c r="K36" s="112"/>
      <c r="L36" s="110">
        <f t="shared" si="2"/>
        <v>332.5599976564331</v>
      </c>
    </row>
    <row r="37" spans="1:12" x14ac:dyDescent="0.3">
      <c r="A37" s="5"/>
      <c r="B37" s="6" t="s">
        <v>96</v>
      </c>
      <c r="C37" s="6"/>
      <c r="D37" s="1" t="s">
        <v>54</v>
      </c>
      <c r="E37" t="s">
        <v>109</v>
      </c>
      <c r="F37">
        <v>10</v>
      </c>
      <c r="G37" t="s">
        <v>103</v>
      </c>
      <c r="H37" s="111">
        <f t="shared" si="5"/>
        <v>43.846666276072185</v>
      </c>
      <c r="I37" s="111">
        <f t="shared" si="1"/>
        <v>438.46666276072187</v>
      </c>
      <c r="J37" s="111">
        <f t="shared" si="4"/>
        <v>438.46666276072187</v>
      </c>
      <c r="K37" s="112"/>
      <c r="L37" s="110">
        <f t="shared" si="2"/>
        <v>554.26666276072183</v>
      </c>
    </row>
    <row r="38" spans="1:12" x14ac:dyDescent="0.3">
      <c r="A38" s="5"/>
      <c r="B38" s="6" t="s">
        <v>97</v>
      </c>
      <c r="C38" s="6"/>
      <c r="D38" s="1" t="s">
        <v>194</v>
      </c>
      <c r="E38" t="s">
        <v>109</v>
      </c>
      <c r="F38">
        <v>10</v>
      </c>
      <c r="G38" t="s">
        <v>103</v>
      </c>
      <c r="H38" s="111">
        <f t="shared" si="5"/>
        <v>43.846666276072185</v>
      </c>
      <c r="I38" s="111">
        <f t="shared" si="1"/>
        <v>438.46666276072187</v>
      </c>
      <c r="J38" s="111">
        <f t="shared" si="4"/>
        <v>438.46666276072187</v>
      </c>
      <c r="K38" s="112"/>
      <c r="L38" s="110">
        <f t="shared" si="2"/>
        <v>554.26666276072183</v>
      </c>
    </row>
    <row r="39" spans="1:12" x14ac:dyDescent="0.3">
      <c r="A39" s="5" t="s">
        <v>10</v>
      </c>
      <c r="B39" s="6"/>
      <c r="C39" s="6"/>
      <c r="D39" s="7" t="s">
        <v>55</v>
      </c>
      <c r="E39" t="s">
        <v>109</v>
      </c>
      <c r="F39">
        <v>3</v>
      </c>
      <c r="G39" t="s">
        <v>103</v>
      </c>
      <c r="H39" s="111">
        <f t="shared" si="5"/>
        <v>43.846666276072185</v>
      </c>
      <c r="I39" s="111">
        <f t="shared" si="1"/>
        <v>131.53999882821654</v>
      </c>
      <c r="J39" s="111">
        <f>SUM(I39)</f>
        <v>131.53999882821654</v>
      </c>
      <c r="K39" s="111">
        <f>SUM(J39)</f>
        <v>131.53999882821654</v>
      </c>
      <c r="L39" s="110">
        <f t="shared" si="2"/>
        <v>166.27999882821655</v>
      </c>
    </row>
    <row r="40" spans="1:12" x14ac:dyDescent="0.3">
      <c r="A40" s="5" t="s">
        <v>11</v>
      </c>
      <c r="B40" s="6"/>
      <c r="C40" s="6"/>
      <c r="D40" s="7" t="s">
        <v>56</v>
      </c>
      <c r="H40" s="111" t="str">
        <f t="shared" si="5"/>
        <v/>
      </c>
      <c r="I40" s="111" t="str">
        <f t="shared" si="1"/>
        <v/>
      </c>
      <c r="J40" s="111"/>
      <c r="K40" s="112">
        <f>SUM(J41:J50)</f>
        <v>4386.8987937884322</v>
      </c>
      <c r="L40" s="110" t="str">
        <f t="shared" si="2"/>
        <v/>
      </c>
    </row>
    <row r="41" spans="1:12" x14ac:dyDescent="0.3">
      <c r="A41" s="5"/>
      <c r="B41" s="6" t="s">
        <v>7</v>
      </c>
      <c r="C41" s="6"/>
      <c r="D41" s="1" t="s">
        <v>57</v>
      </c>
      <c r="E41" t="s">
        <v>108</v>
      </c>
      <c r="F41">
        <v>4</v>
      </c>
      <c r="G41" t="s">
        <v>103</v>
      </c>
      <c r="H41" s="111">
        <f t="shared" si="5"/>
        <v>49.154057104913683</v>
      </c>
      <c r="I41" s="111">
        <f t="shared" si="1"/>
        <v>196.61622841965473</v>
      </c>
      <c r="J41" s="111">
        <f>I41</f>
        <v>196.61622841965473</v>
      </c>
      <c r="K41" s="112"/>
      <c r="L41" s="110">
        <f t="shared" si="2"/>
        <v>242.93622841965473</v>
      </c>
    </row>
    <row r="42" spans="1:12" x14ac:dyDescent="0.3">
      <c r="A42" s="5"/>
      <c r="B42" s="6" t="s">
        <v>13</v>
      </c>
      <c r="C42" s="6"/>
      <c r="D42" s="1" t="s">
        <v>58</v>
      </c>
      <c r="E42" t="s">
        <v>108</v>
      </c>
      <c r="F42">
        <v>3</v>
      </c>
      <c r="G42" t="s">
        <v>103</v>
      </c>
      <c r="H42" s="111">
        <f t="shared" si="5"/>
        <v>49.154057104913683</v>
      </c>
      <c r="I42" s="111">
        <f t="shared" si="1"/>
        <v>147.46217131474106</v>
      </c>
      <c r="J42" s="111">
        <f>I42</f>
        <v>147.46217131474106</v>
      </c>
      <c r="K42" s="112"/>
      <c r="L42" s="110">
        <f t="shared" si="2"/>
        <v>182.20217131474107</v>
      </c>
    </row>
    <row r="43" spans="1:12" x14ac:dyDescent="0.3">
      <c r="A43" s="5"/>
      <c r="B43" s="6" t="s">
        <v>14</v>
      </c>
      <c r="C43" s="6"/>
      <c r="D43" s="1" t="s">
        <v>59</v>
      </c>
      <c r="H43" s="111" t="str">
        <f t="shared" si="5"/>
        <v/>
      </c>
      <c r="I43" s="111" t="str">
        <f t="shared" si="1"/>
        <v/>
      </c>
      <c r="J43" s="111">
        <f>SUM(I44:I50)</f>
        <v>4042.8203940540366</v>
      </c>
      <c r="K43" s="112"/>
      <c r="L43" s="110" t="str">
        <f t="shared" si="2"/>
        <v/>
      </c>
    </row>
    <row r="44" spans="1:12" x14ac:dyDescent="0.3">
      <c r="A44" s="5"/>
      <c r="B44" s="6"/>
      <c r="C44" s="6" t="s">
        <v>6</v>
      </c>
      <c r="D44" s="1" t="s">
        <v>60</v>
      </c>
      <c r="E44" t="s">
        <v>110</v>
      </c>
      <c r="F44">
        <v>22</v>
      </c>
      <c r="G44" t="s">
        <v>103</v>
      </c>
      <c r="H44" s="111">
        <f t="shared" si="5"/>
        <v>38.551814171883898</v>
      </c>
      <c r="I44" s="111">
        <f t="shared" si="1"/>
        <v>848.13991178144579</v>
      </c>
      <c r="J44" s="111"/>
      <c r="K44" s="112"/>
      <c r="L44" s="110">
        <f t="shared" si="2"/>
        <v>1102.8999117814458</v>
      </c>
    </row>
    <row r="45" spans="1:12" ht="28.8" x14ac:dyDescent="0.3">
      <c r="A45" s="5"/>
      <c r="B45" s="6"/>
      <c r="C45" s="6" t="s">
        <v>8</v>
      </c>
      <c r="D45" s="1" t="s">
        <v>61</v>
      </c>
      <c r="E45" t="s">
        <v>110</v>
      </c>
      <c r="F45">
        <v>10</v>
      </c>
      <c r="G45" t="s">
        <v>103</v>
      </c>
      <c r="H45" s="111">
        <f t="shared" si="5"/>
        <v>38.551814171883898</v>
      </c>
      <c r="I45" s="111">
        <f t="shared" si="1"/>
        <v>385.51814171883899</v>
      </c>
      <c r="J45" s="111"/>
      <c r="K45" s="112"/>
      <c r="L45" s="110">
        <f t="shared" si="2"/>
        <v>501.318141718839</v>
      </c>
    </row>
    <row r="46" spans="1:12" ht="28.8" x14ac:dyDescent="0.3">
      <c r="A46" s="5"/>
      <c r="B46" s="6"/>
      <c r="C46" s="6" t="s">
        <v>9</v>
      </c>
      <c r="D46" s="1" t="s">
        <v>62</v>
      </c>
      <c r="E46" t="s">
        <v>109</v>
      </c>
      <c r="F46">
        <v>25</v>
      </c>
      <c r="G46" t="s">
        <v>103</v>
      </c>
      <c r="H46" s="111">
        <f t="shared" si="5"/>
        <v>43.846666276072185</v>
      </c>
      <c r="I46" s="111">
        <f t="shared" si="1"/>
        <v>1096.1666569018046</v>
      </c>
      <c r="J46" s="111"/>
      <c r="K46" s="112"/>
      <c r="L46" s="110">
        <f t="shared" si="2"/>
        <v>1385.6666569018046</v>
      </c>
    </row>
    <row r="47" spans="1:12" x14ac:dyDescent="0.3">
      <c r="A47" s="5"/>
      <c r="B47" s="6"/>
      <c r="C47" s="6" t="s">
        <v>10</v>
      </c>
      <c r="D47" s="1" t="s">
        <v>63</v>
      </c>
      <c r="E47" t="s">
        <v>110</v>
      </c>
      <c r="F47">
        <v>6</v>
      </c>
      <c r="G47" t="s">
        <v>103</v>
      </c>
      <c r="H47" s="111">
        <f t="shared" si="5"/>
        <v>38.551814171883898</v>
      </c>
      <c r="I47" s="111">
        <f t="shared" si="1"/>
        <v>231.31088503130337</v>
      </c>
      <c r="J47" s="111"/>
      <c r="K47" s="112"/>
      <c r="L47" s="110">
        <f t="shared" si="2"/>
        <v>300.79088503130339</v>
      </c>
    </row>
    <row r="48" spans="1:12" x14ac:dyDescent="0.3">
      <c r="A48" s="5"/>
      <c r="B48" s="6"/>
      <c r="C48" s="6" t="s">
        <v>11</v>
      </c>
      <c r="D48" s="1" t="s">
        <v>195</v>
      </c>
      <c r="E48" t="s">
        <v>109</v>
      </c>
      <c r="F48">
        <v>15</v>
      </c>
      <c r="G48" t="s">
        <v>103</v>
      </c>
      <c r="H48" s="111">
        <f t="shared" si="5"/>
        <v>43.846666276072185</v>
      </c>
      <c r="I48" s="111">
        <f t="shared" si="1"/>
        <v>657.69999414108281</v>
      </c>
      <c r="J48" s="111"/>
      <c r="K48" s="112"/>
      <c r="L48" s="110">
        <f t="shared" si="2"/>
        <v>831.39999414108274</v>
      </c>
    </row>
    <row r="49" spans="1:12" x14ac:dyDescent="0.3">
      <c r="A49" s="5"/>
      <c r="B49" s="6"/>
      <c r="C49" s="6" t="s">
        <v>12</v>
      </c>
      <c r="D49" s="1" t="s">
        <v>64</v>
      </c>
      <c r="E49" t="s">
        <v>109</v>
      </c>
      <c r="F49">
        <v>10</v>
      </c>
      <c r="G49" t="s">
        <v>103</v>
      </c>
      <c r="H49" s="111">
        <f t="shared" si="5"/>
        <v>43.846666276072185</v>
      </c>
      <c r="I49" s="111">
        <f t="shared" si="1"/>
        <v>438.46666276072187</v>
      </c>
      <c r="J49" s="111"/>
      <c r="K49" s="112"/>
      <c r="L49" s="110">
        <f t="shared" si="2"/>
        <v>554.26666276072183</v>
      </c>
    </row>
    <row r="50" spans="1:12" x14ac:dyDescent="0.3">
      <c r="A50" s="5"/>
      <c r="B50" s="6"/>
      <c r="C50" s="6" t="s">
        <v>87</v>
      </c>
      <c r="D50" s="1" t="s">
        <v>65</v>
      </c>
      <c r="E50" t="s">
        <v>110</v>
      </c>
      <c r="F50">
        <v>10</v>
      </c>
      <c r="G50" t="s">
        <v>103</v>
      </c>
      <c r="H50" s="111">
        <f t="shared" si="5"/>
        <v>38.551814171883898</v>
      </c>
      <c r="I50" s="111">
        <f t="shared" si="1"/>
        <v>385.51814171883899</v>
      </c>
      <c r="J50" s="111"/>
      <c r="K50" s="112"/>
      <c r="L50" s="110">
        <f t="shared" si="2"/>
        <v>501.318141718839</v>
      </c>
    </row>
    <row r="51" spans="1:12" x14ac:dyDescent="0.3">
      <c r="A51" s="5" t="s">
        <v>12</v>
      </c>
      <c r="B51" s="6"/>
      <c r="C51" s="6"/>
      <c r="D51" s="7" t="s">
        <v>66</v>
      </c>
      <c r="H51" s="111" t="str">
        <f t="shared" si="5"/>
        <v/>
      </c>
      <c r="I51" s="111" t="str">
        <f t="shared" si="1"/>
        <v/>
      </c>
      <c r="J51" s="111"/>
      <c r="K51" s="112">
        <f>SUM(J52:J60)</f>
        <v>1051.4886868492417</v>
      </c>
      <c r="L51" s="110" t="str">
        <f t="shared" si="2"/>
        <v/>
      </c>
    </row>
    <row r="52" spans="1:12" x14ac:dyDescent="0.3">
      <c r="A52" s="5"/>
      <c r="B52" s="6" t="s">
        <v>7</v>
      </c>
      <c r="C52" s="6"/>
      <c r="D52" s="1" t="s">
        <v>67</v>
      </c>
      <c r="E52" t="s">
        <v>110</v>
      </c>
      <c r="F52">
        <v>4</v>
      </c>
      <c r="G52" t="s">
        <v>103</v>
      </c>
      <c r="H52" s="111">
        <f t="shared" si="5"/>
        <v>38.551814171883898</v>
      </c>
      <c r="I52" s="111">
        <f t="shared" si="1"/>
        <v>154.20725668753559</v>
      </c>
      <c r="J52" s="111">
        <f t="shared" ref="J52:J60" si="6">I52</f>
        <v>154.20725668753559</v>
      </c>
      <c r="K52" s="112"/>
      <c r="L52" s="110">
        <f t="shared" si="2"/>
        <v>200.52725668753558</v>
      </c>
    </row>
    <row r="53" spans="1:12" x14ac:dyDescent="0.3">
      <c r="A53" s="5"/>
      <c r="B53" s="6" t="s">
        <v>13</v>
      </c>
      <c r="C53" s="6"/>
      <c r="D53" s="1" t="s">
        <v>68</v>
      </c>
      <c r="E53" t="s">
        <v>110</v>
      </c>
      <c r="F53">
        <v>3</v>
      </c>
      <c r="G53" t="s">
        <v>103</v>
      </c>
      <c r="H53" s="111">
        <f t="shared" si="5"/>
        <v>38.551814171883898</v>
      </c>
      <c r="I53" s="111">
        <f t="shared" si="1"/>
        <v>115.65544251565169</v>
      </c>
      <c r="J53" s="111">
        <f t="shared" si="6"/>
        <v>115.65544251565169</v>
      </c>
      <c r="K53" s="112"/>
      <c r="L53" s="110">
        <f t="shared" si="2"/>
        <v>150.39544251565169</v>
      </c>
    </row>
    <row r="54" spans="1:12" x14ac:dyDescent="0.3">
      <c r="A54" s="5"/>
      <c r="B54" s="6" t="s">
        <v>14</v>
      </c>
      <c r="C54" s="6"/>
      <c r="D54" s="1" t="s">
        <v>69</v>
      </c>
      <c r="E54" t="s">
        <v>110</v>
      </c>
      <c r="F54">
        <v>5</v>
      </c>
      <c r="G54" t="s">
        <v>103</v>
      </c>
      <c r="H54" s="111">
        <f t="shared" si="5"/>
        <v>38.551814171883898</v>
      </c>
      <c r="I54" s="111">
        <f t="shared" si="1"/>
        <v>192.7590708594195</v>
      </c>
      <c r="J54" s="111">
        <f t="shared" si="6"/>
        <v>192.7590708594195</v>
      </c>
      <c r="K54" s="112"/>
      <c r="L54" s="110">
        <f t="shared" si="2"/>
        <v>250.6590708594195</v>
      </c>
    </row>
    <row r="55" spans="1:12" x14ac:dyDescent="0.3">
      <c r="A55" s="5"/>
      <c r="B55" s="6" t="s">
        <v>94</v>
      </c>
      <c r="C55" s="6"/>
      <c r="D55" s="1" t="s">
        <v>70</v>
      </c>
      <c r="E55" t="s">
        <v>110</v>
      </c>
      <c r="F55">
        <v>3</v>
      </c>
      <c r="G55" t="s">
        <v>103</v>
      </c>
      <c r="H55" s="111">
        <f t="shared" si="5"/>
        <v>38.551814171883898</v>
      </c>
      <c r="I55" s="111">
        <f t="shared" si="1"/>
        <v>115.65544251565169</v>
      </c>
      <c r="J55" s="111">
        <f t="shared" si="6"/>
        <v>115.65544251565169</v>
      </c>
      <c r="K55" s="112"/>
      <c r="L55" s="110">
        <f t="shared" si="2"/>
        <v>150.39544251565169</v>
      </c>
    </row>
    <row r="56" spans="1:12" x14ac:dyDescent="0.3">
      <c r="A56" s="5"/>
      <c r="B56" s="6" t="s">
        <v>95</v>
      </c>
      <c r="C56" s="6"/>
      <c r="D56" s="1" t="s">
        <v>196</v>
      </c>
      <c r="E56" t="s">
        <v>110</v>
      </c>
      <c r="F56">
        <v>3</v>
      </c>
      <c r="G56" t="s">
        <v>103</v>
      </c>
      <c r="H56" s="111">
        <f t="shared" si="5"/>
        <v>38.551814171883898</v>
      </c>
      <c r="I56" s="111">
        <f t="shared" si="1"/>
        <v>115.65544251565169</v>
      </c>
      <c r="J56" s="111">
        <f t="shared" si="6"/>
        <v>115.65544251565169</v>
      </c>
      <c r="K56" s="112"/>
      <c r="L56" s="110">
        <f t="shared" si="2"/>
        <v>150.39544251565169</v>
      </c>
    </row>
    <row r="57" spans="1:12" x14ac:dyDescent="0.3">
      <c r="A57" s="5"/>
      <c r="B57" s="6" t="s">
        <v>96</v>
      </c>
      <c r="C57" s="6"/>
      <c r="D57" s="1" t="s">
        <v>71</v>
      </c>
      <c r="E57" t="s">
        <v>110</v>
      </c>
      <c r="F57">
        <v>2</v>
      </c>
      <c r="G57" t="s">
        <v>103</v>
      </c>
      <c r="H57" s="111">
        <f t="shared" si="5"/>
        <v>38.551814171883898</v>
      </c>
      <c r="I57" s="111">
        <f t="shared" si="1"/>
        <v>77.103628343767795</v>
      </c>
      <c r="J57" s="111">
        <f t="shared" si="6"/>
        <v>77.103628343767795</v>
      </c>
      <c r="K57" s="112"/>
      <c r="L57" s="110">
        <f t="shared" si="2"/>
        <v>100.26362834376779</v>
      </c>
    </row>
    <row r="58" spans="1:12" x14ac:dyDescent="0.3">
      <c r="A58" s="5"/>
      <c r="B58" s="6" t="s">
        <v>97</v>
      </c>
      <c r="C58" s="6"/>
      <c r="D58" s="1" t="s">
        <v>72</v>
      </c>
      <c r="E58" t="s">
        <v>110</v>
      </c>
      <c r="F58">
        <v>3</v>
      </c>
      <c r="G58" t="s">
        <v>103</v>
      </c>
      <c r="H58" s="111">
        <f t="shared" si="5"/>
        <v>38.551814171883898</v>
      </c>
      <c r="I58" s="111">
        <f t="shared" si="1"/>
        <v>115.65544251565169</v>
      </c>
      <c r="J58" s="111">
        <f t="shared" si="6"/>
        <v>115.65544251565169</v>
      </c>
      <c r="K58" s="112"/>
      <c r="L58" s="110">
        <f t="shared" si="2"/>
        <v>150.39544251565169</v>
      </c>
    </row>
    <row r="59" spans="1:12" x14ac:dyDescent="0.3">
      <c r="A59" s="5"/>
      <c r="B59" s="6" t="s">
        <v>98</v>
      </c>
      <c r="C59" s="6"/>
      <c r="D59" s="1" t="s">
        <v>193</v>
      </c>
      <c r="E59" t="s">
        <v>110</v>
      </c>
      <c r="F59">
        <v>2</v>
      </c>
      <c r="G59" t="s">
        <v>103</v>
      </c>
      <c r="H59" s="111">
        <f t="shared" si="5"/>
        <v>38.551814171883898</v>
      </c>
      <c r="I59" s="111">
        <f t="shared" si="1"/>
        <v>77.103628343767795</v>
      </c>
      <c r="J59" s="111">
        <f t="shared" si="6"/>
        <v>77.103628343767795</v>
      </c>
      <c r="K59" s="112"/>
      <c r="L59" s="110">
        <f t="shared" si="2"/>
        <v>100.26362834376779</v>
      </c>
    </row>
    <row r="60" spans="1:12" x14ac:dyDescent="0.3">
      <c r="A60" s="5"/>
      <c r="B60" s="6" t="s">
        <v>99</v>
      </c>
      <c r="C60" s="6"/>
      <c r="D60" s="1" t="s">
        <v>73</v>
      </c>
      <c r="E60" t="s">
        <v>109</v>
      </c>
      <c r="F60">
        <v>2</v>
      </c>
      <c r="G60" t="s">
        <v>103</v>
      </c>
      <c r="H60" s="111">
        <f t="shared" si="5"/>
        <v>43.846666276072185</v>
      </c>
      <c r="I60" s="111">
        <f t="shared" si="1"/>
        <v>87.693332552144369</v>
      </c>
      <c r="J60" s="111">
        <f t="shared" si="6"/>
        <v>87.693332552144369</v>
      </c>
      <c r="K60" s="112"/>
      <c r="L60" s="110">
        <f t="shared" si="2"/>
        <v>110.85333255214437</v>
      </c>
    </row>
    <row r="61" spans="1:12" x14ac:dyDescent="0.3">
      <c r="A61" s="5" t="s">
        <v>87</v>
      </c>
      <c r="B61" s="6"/>
      <c r="C61" s="6"/>
      <c r="D61" s="7" t="s">
        <v>74</v>
      </c>
      <c r="H61" s="111" t="str">
        <f t="shared" si="5"/>
        <v/>
      </c>
      <c r="I61" s="111" t="str">
        <f t="shared" si="1"/>
        <v/>
      </c>
      <c r="J61" s="111"/>
      <c r="K61" s="112">
        <f>SUM(J62:J73)</f>
        <v>1382.5443437881208</v>
      </c>
      <c r="L61" s="110" t="str">
        <f t="shared" si="2"/>
        <v/>
      </c>
    </row>
    <row r="62" spans="1:12" ht="28.8" x14ac:dyDescent="0.3">
      <c r="A62" s="5"/>
      <c r="B62" s="6" t="s">
        <v>7</v>
      </c>
      <c r="C62" s="6"/>
      <c r="D62" s="1" t="s">
        <v>75</v>
      </c>
      <c r="E62" t="s">
        <v>104</v>
      </c>
      <c r="F62">
        <v>1</v>
      </c>
      <c r="G62" t="s">
        <v>103</v>
      </c>
      <c r="H62" s="111">
        <f t="shared" si="5"/>
        <v>49.782125344774748</v>
      </c>
      <c r="I62" s="111">
        <f t="shared" si="1"/>
        <v>49.782125344774748</v>
      </c>
      <c r="J62" s="111">
        <f t="shared" ref="J62:J73" si="7">I62</f>
        <v>49.782125344774748</v>
      </c>
      <c r="K62" s="112"/>
      <c r="L62" s="110">
        <f t="shared" si="2"/>
        <v>61.362125344774746</v>
      </c>
    </row>
    <row r="63" spans="1:12" x14ac:dyDescent="0.3">
      <c r="A63" s="5"/>
      <c r="B63" s="6" t="s">
        <v>13</v>
      </c>
      <c r="C63" s="6"/>
      <c r="D63" s="1" t="s">
        <v>76</v>
      </c>
      <c r="E63" t="s">
        <v>104</v>
      </c>
      <c r="F63">
        <v>1</v>
      </c>
      <c r="G63" t="s">
        <v>103</v>
      </c>
      <c r="H63" s="111">
        <f t="shared" si="5"/>
        <v>49.782125344774748</v>
      </c>
      <c r="I63" s="111">
        <f t="shared" si="1"/>
        <v>49.782125344774748</v>
      </c>
      <c r="J63" s="111">
        <f t="shared" si="7"/>
        <v>49.782125344774748</v>
      </c>
      <c r="K63" s="112"/>
      <c r="L63" s="110">
        <f t="shared" si="2"/>
        <v>61.362125344774746</v>
      </c>
    </row>
    <row r="64" spans="1:12" x14ac:dyDescent="0.3">
      <c r="A64" s="5"/>
      <c r="B64" s="6" t="s">
        <v>14</v>
      </c>
      <c r="C64" s="6"/>
      <c r="D64" s="1" t="s">
        <v>77</v>
      </c>
      <c r="E64" t="s">
        <v>107</v>
      </c>
      <c r="F64">
        <v>1</v>
      </c>
      <c r="G64" t="s">
        <v>103</v>
      </c>
      <c r="H64" s="111">
        <f t="shared" si="5"/>
        <v>45.220459339114129</v>
      </c>
      <c r="I64" s="111">
        <f t="shared" si="1"/>
        <v>45.220459339114129</v>
      </c>
      <c r="J64" s="111">
        <f t="shared" si="7"/>
        <v>45.220459339114129</v>
      </c>
      <c r="K64" s="112"/>
      <c r="L64" s="110">
        <f t="shared" si="2"/>
        <v>56.800459339114127</v>
      </c>
    </row>
    <row r="65" spans="1:12" ht="28.8" x14ac:dyDescent="0.3">
      <c r="A65" s="5"/>
      <c r="B65" s="6" t="s">
        <v>94</v>
      </c>
      <c r="C65" s="6"/>
      <c r="D65" s="1" t="s">
        <v>78</v>
      </c>
      <c r="E65" t="s">
        <v>107</v>
      </c>
      <c r="F65">
        <v>2</v>
      </c>
      <c r="G65" t="s">
        <v>103</v>
      </c>
      <c r="H65" s="111">
        <f t="shared" si="5"/>
        <v>45.220459339114129</v>
      </c>
      <c r="I65" s="111">
        <f t="shared" si="1"/>
        <v>90.440918678228257</v>
      </c>
      <c r="J65" s="111">
        <f t="shared" si="7"/>
        <v>90.440918678228257</v>
      </c>
      <c r="K65" s="112"/>
      <c r="L65" s="110">
        <f t="shared" si="2"/>
        <v>113.60091867822825</v>
      </c>
    </row>
    <row r="66" spans="1:12" ht="28.8" x14ac:dyDescent="0.3">
      <c r="A66" s="5"/>
      <c r="B66" s="6" t="s">
        <v>95</v>
      </c>
      <c r="C66" s="6"/>
      <c r="D66" s="1" t="s">
        <v>79</v>
      </c>
      <c r="E66" t="s">
        <v>104</v>
      </c>
      <c r="F66">
        <v>2</v>
      </c>
      <c r="G66" t="s">
        <v>103</v>
      </c>
      <c r="H66" s="111">
        <f t="shared" si="5"/>
        <v>49.782125344774748</v>
      </c>
      <c r="I66" s="111">
        <f t="shared" si="1"/>
        <v>99.564250689549496</v>
      </c>
      <c r="J66" s="111">
        <f t="shared" si="7"/>
        <v>99.564250689549496</v>
      </c>
      <c r="K66" s="112"/>
      <c r="L66" s="110">
        <f t="shared" si="2"/>
        <v>122.72425068954949</v>
      </c>
    </row>
    <row r="67" spans="1:12" x14ac:dyDescent="0.3">
      <c r="A67" s="5"/>
      <c r="B67" s="6" t="s">
        <v>96</v>
      </c>
      <c r="C67" s="6"/>
      <c r="D67" s="1" t="s">
        <v>80</v>
      </c>
      <c r="E67" t="s">
        <v>106</v>
      </c>
      <c r="F67">
        <v>3</v>
      </c>
      <c r="G67" t="s">
        <v>103</v>
      </c>
      <c r="H67" s="111">
        <f t="shared" ref="H67:H73" si="8">_xlfn.XLOOKUP(E67,$Q$20:$Q$25,$R$20:$R$25,"")</f>
        <v>42.159269173306768</v>
      </c>
      <c r="I67" s="111">
        <f t="shared" si="1"/>
        <v>126.4778075199203</v>
      </c>
      <c r="J67" s="111">
        <f t="shared" si="7"/>
        <v>126.4778075199203</v>
      </c>
      <c r="K67" s="112"/>
      <c r="L67" s="110">
        <f t="shared" si="2"/>
        <v>161.21780751992031</v>
      </c>
    </row>
    <row r="68" spans="1:12" x14ac:dyDescent="0.3">
      <c r="A68" s="5"/>
      <c r="B68" s="6" t="s">
        <v>97</v>
      </c>
      <c r="C68" s="6"/>
      <c r="D68" s="1" t="s">
        <v>81</v>
      </c>
      <c r="E68" t="s">
        <v>108</v>
      </c>
      <c r="F68">
        <v>5</v>
      </c>
      <c r="G68" t="s">
        <v>103</v>
      </c>
      <c r="H68" s="111">
        <f t="shared" si="8"/>
        <v>49.154057104913683</v>
      </c>
      <c r="I68" s="111">
        <f t="shared" ref="I68:I73" si="9">IFERROR(H68*F68,"")</f>
        <v>245.77028552456841</v>
      </c>
      <c r="J68" s="111">
        <f t="shared" si="7"/>
        <v>245.77028552456841</v>
      </c>
      <c r="K68" s="112"/>
      <c r="L68" s="110">
        <f t="shared" ref="L68:L73" si="10">IFERROR(I68+($P$10*F68),"")</f>
        <v>303.67028552456838</v>
      </c>
    </row>
    <row r="69" spans="1:12" x14ac:dyDescent="0.3">
      <c r="A69" s="5"/>
      <c r="B69" s="6" t="s">
        <v>98</v>
      </c>
      <c r="C69" s="6"/>
      <c r="D69" s="1" t="s">
        <v>82</v>
      </c>
      <c r="E69" t="s">
        <v>109</v>
      </c>
      <c r="F69">
        <v>5</v>
      </c>
      <c r="G69" t="s">
        <v>103</v>
      </c>
      <c r="H69" s="111">
        <f t="shared" si="8"/>
        <v>43.846666276072185</v>
      </c>
      <c r="I69" s="111">
        <f t="shared" si="9"/>
        <v>219.23333138036094</v>
      </c>
      <c r="J69" s="111">
        <f t="shared" si="7"/>
        <v>219.23333138036094</v>
      </c>
      <c r="K69" s="112"/>
      <c r="L69" s="110">
        <f t="shared" si="10"/>
        <v>277.13333138036091</v>
      </c>
    </row>
    <row r="70" spans="1:12" x14ac:dyDescent="0.3">
      <c r="A70" s="5"/>
      <c r="B70" s="6" t="s">
        <v>99</v>
      </c>
      <c r="C70" s="6"/>
      <c r="D70" s="1" t="s">
        <v>83</v>
      </c>
      <c r="E70" t="s">
        <v>109</v>
      </c>
      <c r="F70">
        <v>2</v>
      </c>
      <c r="G70" t="s">
        <v>103</v>
      </c>
      <c r="H70" s="111">
        <f t="shared" si="8"/>
        <v>43.846666276072185</v>
      </c>
      <c r="I70" s="111">
        <f t="shared" si="9"/>
        <v>87.693332552144369</v>
      </c>
      <c r="J70" s="111">
        <f t="shared" si="7"/>
        <v>87.693332552144369</v>
      </c>
      <c r="K70" s="112"/>
      <c r="L70" s="110">
        <f t="shared" si="10"/>
        <v>110.85333255214437</v>
      </c>
    </row>
    <row r="71" spans="1:12" x14ac:dyDescent="0.3">
      <c r="A71" s="5"/>
      <c r="B71" s="6" t="s">
        <v>100</v>
      </c>
      <c r="C71" s="6"/>
      <c r="D71" s="1" t="s">
        <v>84</v>
      </c>
      <c r="E71" t="s">
        <v>109</v>
      </c>
      <c r="F71">
        <v>5</v>
      </c>
      <c r="G71" t="s">
        <v>103</v>
      </c>
      <c r="H71" s="111">
        <f t="shared" si="8"/>
        <v>43.846666276072185</v>
      </c>
      <c r="I71" s="111">
        <f t="shared" si="9"/>
        <v>219.23333138036094</v>
      </c>
      <c r="J71" s="111">
        <f t="shared" si="7"/>
        <v>219.23333138036094</v>
      </c>
      <c r="K71" s="112"/>
      <c r="L71" s="110">
        <f t="shared" si="10"/>
        <v>277.13333138036091</v>
      </c>
    </row>
    <row r="72" spans="1:12" x14ac:dyDescent="0.3">
      <c r="A72" s="5"/>
      <c r="B72" s="6" t="s">
        <v>101</v>
      </c>
      <c r="C72" s="6"/>
      <c r="D72" s="1" t="s">
        <v>85</v>
      </c>
      <c r="E72" t="s">
        <v>104</v>
      </c>
      <c r="F72">
        <v>2</v>
      </c>
      <c r="G72" t="s">
        <v>103</v>
      </c>
      <c r="H72" s="111">
        <f t="shared" si="8"/>
        <v>49.782125344774748</v>
      </c>
      <c r="I72" s="111">
        <f t="shared" si="9"/>
        <v>99.564250689549496</v>
      </c>
      <c r="J72" s="111">
        <f t="shared" si="7"/>
        <v>99.564250689549496</v>
      </c>
      <c r="K72" s="112"/>
      <c r="L72" s="110">
        <f t="shared" si="10"/>
        <v>122.72425068954949</v>
      </c>
    </row>
    <row r="73" spans="1:12" x14ac:dyDescent="0.3">
      <c r="A73" s="8"/>
      <c r="B73" s="9" t="s">
        <v>102</v>
      </c>
      <c r="C73" s="9"/>
      <c r="D73" s="10" t="s">
        <v>86</v>
      </c>
      <c r="E73" s="11" t="s">
        <v>104</v>
      </c>
      <c r="F73" s="11">
        <v>1</v>
      </c>
      <c r="G73" s="11" t="s">
        <v>103</v>
      </c>
      <c r="H73" s="111">
        <f t="shared" si="8"/>
        <v>49.782125344774748</v>
      </c>
      <c r="I73" s="111">
        <f t="shared" si="9"/>
        <v>49.782125344774748</v>
      </c>
      <c r="J73" s="111">
        <f t="shared" si="7"/>
        <v>49.782125344774748</v>
      </c>
      <c r="K73" s="113"/>
      <c r="L73" s="110">
        <f t="shared" si="10"/>
        <v>61.362125344774746</v>
      </c>
    </row>
    <row r="74" spans="1:12" x14ac:dyDescent="0.3">
      <c r="A74" s="127" t="s">
        <v>4</v>
      </c>
      <c r="B74" s="128"/>
      <c r="C74" s="128"/>
      <c r="D74" s="128"/>
      <c r="E74" s="128"/>
      <c r="F74" s="128"/>
      <c r="G74" s="128"/>
      <c r="H74" s="128"/>
      <c r="I74" s="128"/>
      <c r="J74" s="128"/>
      <c r="K74" s="114">
        <f>SUM(K3:K73)</f>
        <v>13026.517352669423</v>
      </c>
      <c r="L74" s="111">
        <f>SUM(L3:L73)</f>
        <v>16500.51735266942</v>
      </c>
    </row>
    <row r="75" spans="1:12" x14ac:dyDescent="0.3">
      <c r="K75" s="2"/>
      <c r="L75" s="2"/>
    </row>
    <row r="76" spans="1:12" ht="15" thickBot="1" x14ac:dyDescent="0.35">
      <c r="A76" s="133" t="s">
        <v>192</v>
      </c>
      <c r="B76" s="134"/>
      <c r="C76" s="134"/>
      <c r="D76" s="134"/>
      <c r="E76" s="134"/>
      <c r="F76" s="134"/>
      <c r="G76" s="134"/>
      <c r="H76" s="134"/>
      <c r="I76" s="134"/>
      <c r="J76" s="134"/>
      <c r="K76" s="135"/>
      <c r="L76" s="124"/>
    </row>
    <row r="77" spans="1:12" x14ac:dyDescent="0.3">
      <c r="A77" s="12" t="s">
        <v>0</v>
      </c>
      <c r="B77" s="13" t="s">
        <v>1</v>
      </c>
      <c r="C77" s="13" t="s">
        <v>2</v>
      </c>
      <c r="D77" s="13" t="s">
        <v>15</v>
      </c>
      <c r="E77" s="13" t="s">
        <v>19</v>
      </c>
      <c r="F77" s="13" t="s">
        <v>16</v>
      </c>
      <c r="G77" s="13" t="s">
        <v>17</v>
      </c>
      <c r="H77" s="13" t="s">
        <v>18</v>
      </c>
      <c r="I77" s="13" t="s">
        <v>3</v>
      </c>
      <c r="J77" s="13" t="s">
        <v>5</v>
      </c>
      <c r="K77" s="14" t="s">
        <v>4</v>
      </c>
      <c r="L77" s="118"/>
    </row>
    <row r="78" spans="1:12" x14ac:dyDescent="0.3">
      <c r="A78" s="5" t="s">
        <v>6</v>
      </c>
      <c r="B78" s="6"/>
      <c r="C78" s="6"/>
      <c r="D78" t="s">
        <v>197</v>
      </c>
      <c r="H78" s="116"/>
      <c r="I78" s="116"/>
      <c r="J78" s="116">
        <f>SUM(I79:I80)</f>
        <v>172.5</v>
      </c>
      <c r="K78" s="117">
        <f>J78</f>
        <v>172.5</v>
      </c>
      <c r="L78" s="116"/>
    </row>
    <row r="79" spans="1:12" x14ac:dyDescent="0.3">
      <c r="A79" s="5"/>
      <c r="B79" s="6" t="s">
        <v>7</v>
      </c>
      <c r="C79" s="6"/>
      <c r="D79" t="s">
        <v>198</v>
      </c>
      <c r="E79" t="s">
        <v>200</v>
      </c>
      <c r="F79">
        <v>150</v>
      </c>
      <c r="G79" t="s">
        <v>201</v>
      </c>
      <c r="H79" s="116">
        <v>0.35</v>
      </c>
      <c r="I79" s="116">
        <f>H79*F79</f>
        <v>52.5</v>
      </c>
      <c r="J79" s="116"/>
      <c r="K79" s="117"/>
      <c r="L79" s="116"/>
    </row>
    <row r="80" spans="1:12" x14ac:dyDescent="0.3">
      <c r="A80" s="5"/>
      <c r="B80" s="6" t="s">
        <v>13</v>
      </c>
      <c r="C80" s="6"/>
      <c r="D80" t="s">
        <v>199</v>
      </c>
      <c r="E80" t="s">
        <v>200</v>
      </c>
      <c r="F80">
        <v>6</v>
      </c>
      <c r="G80" t="s">
        <v>202</v>
      </c>
      <c r="H80" s="116">
        <v>20</v>
      </c>
      <c r="I80" s="116">
        <f>H80*F80</f>
        <v>120</v>
      </c>
      <c r="J80" s="116"/>
      <c r="K80" s="117"/>
      <c r="L80" s="116"/>
    </row>
    <row r="81" spans="1:12" x14ac:dyDescent="0.3">
      <c r="A81" s="127" t="s">
        <v>4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14">
        <f>SUM(K78:K80)</f>
        <v>172.5</v>
      </c>
      <c r="L81" s="111"/>
    </row>
    <row r="82" spans="1:12" x14ac:dyDescent="0.3">
      <c r="A82" s="6"/>
      <c r="B82" s="6"/>
      <c r="C82" s="6"/>
    </row>
  </sheetData>
  <mergeCells count="6">
    <mergeCell ref="A1:K1"/>
    <mergeCell ref="A74:J74"/>
    <mergeCell ref="A76:K76"/>
    <mergeCell ref="A81:J81"/>
    <mergeCell ref="N1:P1"/>
    <mergeCell ref="N6:O6"/>
  </mergeCells>
  <phoneticPr fontId="4" type="noConversion"/>
  <dataValidations count="1">
    <dataValidation type="list" allowBlank="1" showInputMessage="1" showErrorMessage="1" sqref="E3:E73" xr:uid="{2FF9A132-8776-4FE0-B050-ADA1CD0962E0}">
      <formula1>$Q$20:$Q$25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99F06-5152-4136-849C-8D726824663D}">
  <dimension ref="A1:K56"/>
  <sheetViews>
    <sheetView workbookViewId="0">
      <selection activeCell="G1" sqref="G1:I4"/>
    </sheetView>
  </sheetViews>
  <sheetFormatPr defaultRowHeight="14.4" x14ac:dyDescent="0.3"/>
  <cols>
    <col min="1" max="1" width="3" bestFit="1" customWidth="1"/>
    <col min="2" max="2" width="4" bestFit="1" customWidth="1"/>
    <col min="3" max="3" width="37.109375" bestFit="1" customWidth="1"/>
    <col min="4" max="4" width="23.77734375" bestFit="1" customWidth="1"/>
    <col min="5" max="5" width="10.44140625" bestFit="1" customWidth="1"/>
    <col min="7" max="7" width="8.88671875" bestFit="1" customWidth="1"/>
    <col min="8" max="8" width="33" bestFit="1" customWidth="1"/>
    <col min="9" max="9" width="11.77734375" bestFit="1" customWidth="1"/>
    <col min="10" max="10" width="21.6640625" bestFit="1" customWidth="1"/>
    <col min="11" max="11" width="23.77734375" bestFit="1" customWidth="1"/>
  </cols>
  <sheetData>
    <row r="1" spans="1:11" ht="15" thickBot="1" x14ac:dyDescent="0.35">
      <c r="A1" s="130" t="s">
        <v>210</v>
      </c>
      <c r="B1" s="131"/>
      <c r="C1" s="131"/>
      <c r="D1" s="131"/>
      <c r="E1" s="132"/>
      <c r="G1" s="127" t="s">
        <v>209</v>
      </c>
      <c r="H1" s="128"/>
      <c r="I1" s="129"/>
    </row>
    <row r="2" spans="1:11" x14ac:dyDescent="0.3">
      <c r="A2" s="12" t="s">
        <v>0</v>
      </c>
      <c r="B2" s="13" t="s">
        <v>1</v>
      </c>
      <c r="C2" s="13" t="s">
        <v>15</v>
      </c>
      <c r="D2" s="13" t="s">
        <v>212</v>
      </c>
      <c r="E2" s="14" t="s">
        <v>4</v>
      </c>
      <c r="G2" s="119" t="s">
        <v>205</v>
      </c>
      <c r="H2" s="118" t="s">
        <v>204</v>
      </c>
      <c r="I2" s="120" t="s">
        <v>4</v>
      </c>
    </row>
    <row r="3" spans="1:11" x14ac:dyDescent="0.3">
      <c r="A3" s="5" t="s">
        <v>6</v>
      </c>
      <c r="B3" s="6"/>
      <c r="C3" s="7" t="s">
        <v>20</v>
      </c>
      <c r="D3" s="123"/>
      <c r="E3" s="115">
        <f>SUM(D4:D6)</f>
        <v>1840.8637603432428</v>
      </c>
      <c r="G3" s="5" t="s">
        <v>6</v>
      </c>
      <c r="H3" t="s">
        <v>206</v>
      </c>
      <c r="I3" s="121">
        <f>E54</f>
        <v>16500.517352669427</v>
      </c>
    </row>
    <row r="4" spans="1:11" x14ac:dyDescent="0.3">
      <c r="A4" s="5"/>
      <c r="B4" s="6" t="s">
        <v>7</v>
      </c>
      <c r="C4" s="1" t="s">
        <v>21</v>
      </c>
      <c r="D4" s="123">
        <f>Costs_init!L4</f>
        <v>122.72425068954949</v>
      </c>
      <c r="E4" s="112"/>
      <c r="G4" s="127" t="s">
        <v>115</v>
      </c>
      <c r="H4" s="128"/>
      <c r="I4" s="122">
        <f>SUM(I3)</f>
        <v>16500.517352669427</v>
      </c>
    </row>
    <row r="5" spans="1:11" x14ac:dyDescent="0.3">
      <c r="A5" s="5"/>
      <c r="B5" s="6" t="s">
        <v>13</v>
      </c>
      <c r="C5" s="1" t="s">
        <v>22</v>
      </c>
      <c r="D5" s="123">
        <f>Costs_init!L5</f>
        <v>122.72425068954949</v>
      </c>
      <c r="E5" s="112"/>
      <c r="G5" s="6"/>
      <c r="I5" s="111"/>
    </row>
    <row r="6" spans="1:11" x14ac:dyDescent="0.3">
      <c r="A6" s="5"/>
      <c r="B6" s="6" t="s">
        <v>14</v>
      </c>
      <c r="C6" s="1" t="s">
        <v>23</v>
      </c>
      <c r="D6" s="123">
        <f>SUM(Costs_init!L7:L19)</f>
        <v>1595.4152589641437</v>
      </c>
      <c r="E6" s="112"/>
    </row>
    <row r="7" spans="1:11" x14ac:dyDescent="0.3">
      <c r="A7" s="5" t="s">
        <v>8</v>
      </c>
      <c r="B7" s="6"/>
      <c r="C7" s="7" t="s">
        <v>37</v>
      </c>
      <c r="D7" s="123"/>
      <c r="E7" s="112">
        <f>SUM(D8:D17)</f>
        <v>2932.5324370166391</v>
      </c>
      <c r="K7" s="110"/>
    </row>
    <row r="8" spans="1:11" x14ac:dyDescent="0.3">
      <c r="A8" s="5"/>
      <c r="B8" s="6" t="s">
        <v>7</v>
      </c>
      <c r="C8" s="1" t="s">
        <v>38</v>
      </c>
      <c r="D8" s="123">
        <f>Costs_init!L21</f>
        <v>53.739269173306766</v>
      </c>
      <c r="E8" s="112"/>
      <c r="K8" s="110"/>
    </row>
    <row r="9" spans="1:11" x14ac:dyDescent="0.3">
      <c r="A9" s="5"/>
      <c r="B9" s="6" t="s">
        <v>13</v>
      </c>
      <c r="C9" s="1" t="s">
        <v>39</v>
      </c>
      <c r="D9" s="123">
        <f>Costs_init!L22</f>
        <v>227.20183735645651</v>
      </c>
      <c r="E9" s="112"/>
      <c r="K9" s="110"/>
    </row>
    <row r="10" spans="1:11" x14ac:dyDescent="0.3">
      <c r="A10" s="5"/>
      <c r="B10" s="6" t="s">
        <v>14</v>
      </c>
      <c r="C10" s="1" t="s">
        <v>40</v>
      </c>
      <c r="D10" s="123">
        <f>Costs_init!L23</f>
        <v>107.47853834661353</v>
      </c>
      <c r="E10" s="112"/>
      <c r="K10" s="110"/>
    </row>
    <row r="11" spans="1:11" x14ac:dyDescent="0.3">
      <c r="A11" s="5"/>
      <c r="B11" s="6" t="s">
        <v>94</v>
      </c>
      <c r="C11" s="1" t="s">
        <v>41</v>
      </c>
      <c r="D11" s="123">
        <f>Costs_init!L24</f>
        <v>53.739269173306766</v>
      </c>
      <c r="E11" s="112"/>
      <c r="K11" s="110"/>
    </row>
    <row r="12" spans="1:11" x14ac:dyDescent="0.3">
      <c r="A12" s="5"/>
      <c r="B12" s="6" t="s">
        <v>95</v>
      </c>
      <c r="C12" s="1" t="s">
        <v>42</v>
      </c>
      <c r="D12" s="123">
        <f>Costs_init!L25</f>
        <v>107.47853834661353</v>
      </c>
      <c r="E12" s="112"/>
      <c r="K12" s="110"/>
    </row>
    <row r="13" spans="1:11" x14ac:dyDescent="0.3">
      <c r="A13" s="5"/>
      <c r="B13" s="6" t="s">
        <v>96</v>
      </c>
      <c r="C13" s="1" t="s">
        <v>43</v>
      </c>
      <c r="D13" s="123">
        <f>Costs_init!L26</f>
        <v>340.80275603468476</v>
      </c>
      <c r="E13" s="112"/>
    </row>
    <row r="14" spans="1:11" x14ac:dyDescent="0.3">
      <c r="A14" s="5"/>
      <c r="B14" s="6" t="s">
        <v>97</v>
      </c>
      <c r="C14" s="1" t="s">
        <v>44</v>
      </c>
      <c r="D14" s="123">
        <f>Costs_init!L27</f>
        <v>1182.2639218127488</v>
      </c>
      <c r="E14" s="112"/>
    </row>
    <row r="15" spans="1:11" x14ac:dyDescent="0.3">
      <c r="A15" s="5"/>
      <c r="B15" s="6" t="s">
        <v>98</v>
      </c>
      <c r="C15" s="1" t="s">
        <v>45</v>
      </c>
      <c r="D15" s="123">
        <f>Costs_init!L28</f>
        <v>322.43561503984063</v>
      </c>
      <c r="E15" s="112"/>
    </row>
    <row r="16" spans="1:11" x14ac:dyDescent="0.3">
      <c r="A16" s="5"/>
      <c r="B16" s="6" t="s">
        <v>99</v>
      </c>
      <c r="C16" s="1" t="s">
        <v>46</v>
      </c>
      <c r="D16" s="123">
        <f>Costs_init!L29</f>
        <v>107.47853834661353</v>
      </c>
      <c r="E16" s="112"/>
    </row>
    <row r="17" spans="1:5" x14ac:dyDescent="0.3">
      <c r="A17" s="5"/>
      <c r="B17" s="6" t="s">
        <v>100</v>
      </c>
      <c r="C17" s="1" t="s">
        <v>47</v>
      </c>
      <c r="D17" s="123">
        <f>Costs_init!L30</f>
        <v>429.91415338645413</v>
      </c>
      <c r="E17" s="112"/>
    </row>
    <row r="18" spans="1:5" x14ac:dyDescent="0.3">
      <c r="A18" s="5" t="s">
        <v>9</v>
      </c>
      <c r="B18" s="6"/>
      <c r="C18" s="7" t="s">
        <v>48</v>
      </c>
      <c r="D18" s="123" t="str">
        <f>Costs_init!L31</f>
        <v/>
      </c>
      <c r="E18" s="112">
        <f>SUM(D19:D25)</f>
        <v>2863.9493320555316</v>
      </c>
    </row>
    <row r="19" spans="1:5" x14ac:dyDescent="0.3">
      <c r="A19" s="5"/>
      <c r="B19" s="6" t="s">
        <v>7</v>
      </c>
      <c r="C19" s="1" t="s">
        <v>49</v>
      </c>
      <c r="D19" s="123">
        <f>Costs_init!L32</f>
        <v>607.34057104913677</v>
      </c>
      <c r="E19" s="112"/>
    </row>
    <row r="20" spans="1:5" x14ac:dyDescent="0.3">
      <c r="A20" s="5"/>
      <c r="B20" s="6" t="s">
        <v>13</v>
      </c>
      <c r="C20" s="1" t="s">
        <v>50</v>
      </c>
      <c r="D20" s="123">
        <f>Costs_init!L33</f>
        <v>150.39544251565169</v>
      </c>
      <c r="E20" s="112"/>
    </row>
    <row r="21" spans="1:5" x14ac:dyDescent="0.3">
      <c r="A21" s="5"/>
      <c r="B21" s="6" t="s">
        <v>14</v>
      </c>
      <c r="C21" s="1" t="s">
        <v>51</v>
      </c>
      <c r="D21" s="123">
        <f>Costs_init!L34</f>
        <v>443.41333020857746</v>
      </c>
      <c r="E21" s="112"/>
    </row>
    <row r="22" spans="1:5" x14ac:dyDescent="0.3">
      <c r="A22" s="5"/>
      <c r="B22" s="6" t="s">
        <v>94</v>
      </c>
      <c r="C22" s="1" t="s">
        <v>52</v>
      </c>
      <c r="D22" s="123">
        <f>Costs_init!L35</f>
        <v>221.70666510428873</v>
      </c>
      <c r="E22" s="112"/>
    </row>
    <row r="23" spans="1:5" x14ac:dyDescent="0.3">
      <c r="A23" s="5"/>
      <c r="B23" s="6" t="s">
        <v>95</v>
      </c>
      <c r="C23" s="1" t="s">
        <v>53</v>
      </c>
      <c r="D23" s="123">
        <f>Costs_init!L36</f>
        <v>332.5599976564331</v>
      </c>
      <c r="E23" s="112"/>
    </row>
    <row r="24" spans="1:5" x14ac:dyDescent="0.3">
      <c r="A24" s="5"/>
      <c r="B24" s="6" t="s">
        <v>96</v>
      </c>
      <c r="C24" s="1" t="s">
        <v>54</v>
      </c>
      <c r="D24" s="123">
        <f>Costs_init!L37</f>
        <v>554.26666276072183</v>
      </c>
      <c r="E24" s="112"/>
    </row>
    <row r="25" spans="1:5" x14ac:dyDescent="0.3">
      <c r="A25" s="5"/>
      <c r="B25" s="6" t="s">
        <v>97</v>
      </c>
      <c r="C25" s="1" t="s">
        <v>194</v>
      </c>
      <c r="D25" s="123">
        <f>Costs_init!L38</f>
        <v>554.26666276072183</v>
      </c>
      <c r="E25" s="112"/>
    </row>
    <row r="26" spans="1:5" x14ac:dyDescent="0.3">
      <c r="A26" s="5" t="s">
        <v>10</v>
      </c>
      <c r="B26" s="6"/>
      <c r="C26" s="7" t="s">
        <v>55</v>
      </c>
      <c r="D26" s="123">
        <f>Costs_init!L39</f>
        <v>166.27999882821655</v>
      </c>
      <c r="E26" s="111">
        <f>D26</f>
        <v>166.27999882821655</v>
      </c>
    </row>
    <row r="27" spans="1:5" x14ac:dyDescent="0.3">
      <c r="A27" s="5" t="s">
        <v>11</v>
      </c>
      <c r="B27" s="6"/>
      <c r="C27" s="7" t="s">
        <v>56</v>
      </c>
      <c r="D27" s="123" t="str">
        <f>Costs_init!L40</f>
        <v/>
      </c>
      <c r="E27" s="112">
        <f>SUM(D28:D30)</f>
        <v>5602.7987937884327</v>
      </c>
    </row>
    <row r="28" spans="1:5" x14ac:dyDescent="0.3">
      <c r="A28" s="5"/>
      <c r="B28" s="6" t="s">
        <v>7</v>
      </c>
      <c r="C28" s="1" t="s">
        <v>57</v>
      </c>
      <c r="D28" s="123">
        <f>Costs_init!L41</f>
        <v>242.93622841965473</v>
      </c>
      <c r="E28" s="112"/>
    </row>
    <row r="29" spans="1:5" x14ac:dyDescent="0.3">
      <c r="A29" s="5"/>
      <c r="B29" s="6" t="s">
        <v>13</v>
      </c>
      <c r="C29" s="1" t="s">
        <v>58</v>
      </c>
      <c r="D29" s="123">
        <f>Costs_init!L42</f>
        <v>182.20217131474107</v>
      </c>
      <c r="E29" s="112"/>
    </row>
    <row r="30" spans="1:5" x14ac:dyDescent="0.3">
      <c r="A30" s="5"/>
      <c r="B30" s="6" t="s">
        <v>14</v>
      </c>
      <c r="C30" s="1" t="s">
        <v>59</v>
      </c>
      <c r="D30" s="123">
        <f>SUM(Costs_init!L44:L50)</f>
        <v>5177.6603940540372</v>
      </c>
      <c r="E30" s="112"/>
    </row>
    <row r="31" spans="1:5" x14ac:dyDescent="0.3">
      <c r="A31" s="5" t="s">
        <v>12</v>
      </c>
      <c r="B31" s="6"/>
      <c r="C31" s="7" t="s">
        <v>66</v>
      </c>
      <c r="D31" s="123"/>
      <c r="E31" s="112">
        <f>SUM(D32:D40)</f>
        <v>1364.1486868492418</v>
      </c>
    </row>
    <row r="32" spans="1:5" x14ac:dyDescent="0.3">
      <c r="A32" s="5"/>
      <c r="B32" s="6" t="s">
        <v>7</v>
      </c>
      <c r="C32" s="1" t="s">
        <v>67</v>
      </c>
      <c r="D32" s="123">
        <f>Costs_init!L52</f>
        <v>200.52725668753558</v>
      </c>
      <c r="E32" s="112"/>
    </row>
    <row r="33" spans="1:5" x14ac:dyDescent="0.3">
      <c r="A33" s="5"/>
      <c r="B33" s="6" t="s">
        <v>13</v>
      </c>
      <c r="C33" s="1" t="s">
        <v>68</v>
      </c>
      <c r="D33" s="123">
        <f>Costs_init!L53</f>
        <v>150.39544251565169</v>
      </c>
      <c r="E33" s="112"/>
    </row>
    <row r="34" spans="1:5" x14ac:dyDescent="0.3">
      <c r="A34" s="5"/>
      <c r="B34" s="6" t="s">
        <v>14</v>
      </c>
      <c r="C34" s="1" t="s">
        <v>69</v>
      </c>
      <c r="D34" s="123">
        <f>Costs_init!L54</f>
        <v>250.6590708594195</v>
      </c>
      <c r="E34" s="112"/>
    </row>
    <row r="35" spans="1:5" x14ac:dyDescent="0.3">
      <c r="A35" s="5"/>
      <c r="B35" s="6" t="s">
        <v>94</v>
      </c>
      <c r="C35" s="1" t="s">
        <v>70</v>
      </c>
      <c r="D35" s="123">
        <f>Costs_init!L55</f>
        <v>150.39544251565169</v>
      </c>
      <c r="E35" s="112"/>
    </row>
    <row r="36" spans="1:5" x14ac:dyDescent="0.3">
      <c r="A36" s="5"/>
      <c r="B36" s="6" t="s">
        <v>95</v>
      </c>
      <c r="C36" s="1" t="s">
        <v>196</v>
      </c>
      <c r="D36" s="123">
        <f>Costs_init!L56</f>
        <v>150.39544251565169</v>
      </c>
      <c r="E36" s="112"/>
    </row>
    <row r="37" spans="1:5" x14ac:dyDescent="0.3">
      <c r="A37" s="5"/>
      <c r="B37" s="6" t="s">
        <v>96</v>
      </c>
      <c r="C37" s="1" t="s">
        <v>71</v>
      </c>
      <c r="D37" s="123">
        <f>Costs_init!L57</f>
        <v>100.26362834376779</v>
      </c>
      <c r="E37" s="112"/>
    </row>
    <row r="38" spans="1:5" x14ac:dyDescent="0.3">
      <c r="A38" s="5"/>
      <c r="B38" s="6" t="s">
        <v>97</v>
      </c>
      <c r="C38" s="1" t="s">
        <v>72</v>
      </c>
      <c r="D38" s="123">
        <f>Costs_init!L58</f>
        <v>150.39544251565169</v>
      </c>
      <c r="E38" s="112"/>
    </row>
    <row r="39" spans="1:5" x14ac:dyDescent="0.3">
      <c r="A39" s="5"/>
      <c r="B39" s="6" t="s">
        <v>98</v>
      </c>
      <c r="C39" s="1" t="s">
        <v>193</v>
      </c>
      <c r="D39" s="123">
        <f>Costs_init!L59</f>
        <v>100.26362834376779</v>
      </c>
      <c r="E39" s="112"/>
    </row>
    <row r="40" spans="1:5" x14ac:dyDescent="0.3">
      <c r="A40" s="5"/>
      <c r="B40" s="6" t="s">
        <v>99</v>
      </c>
      <c r="C40" s="1" t="s">
        <v>73</v>
      </c>
      <c r="D40" s="123">
        <f>Costs_init!L60</f>
        <v>110.85333255214437</v>
      </c>
      <c r="E40" s="112"/>
    </row>
    <row r="41" spans="1:5" x14ac:dyDescent="0.3">
      <c r="A41" s="5" t="s">
        <v>87</v>
      </c>
      <c r="B41" s="6"/>
      <c r="C41" s="7" t="s">
        <v>74</v>
      </c>
      <c r="D41" s="123" t="str">
        <f>Costs_init!L61</f>
        <v/>
      </c>
      <c r="E41" s="112">
        <f>SUM(D42:D53)</f>
        <v>1729.9443437881205</v>
      </c>
    </row>
    <row r="42" spans="1:5" ht="28.8" x14ac:dyDescent="0.3">
      <c r="A42" s="5"/>
      <c r="B42" s="6" t="s">
        <v>7</v>
      </c>
      <c r="C42" s="1" t="s">
        <v>75</v>
      </c>
      <c r="D42" s="123">
        <f>Costs_init!L62</f>
        <v>61.362125344774746</v>
      </c>
      <c r="E42" s="112"/>
    </row>
    <row r="43" spans="1:5" x14ac:dyDescent="0.3">
      <c r="A43" s="5"/>
      <c r="B43" s="6" t="s">
        <v>13</v>
      </c>
      <c r="C43" s="1" t="s">
        <v>76</v>
      </c>
      <c r="D43" s="123">
        <f>Costs_init!L63</f>
        <v>61.362125344774746</v>
      </c>
      <c r="E43" s="112"/>
    </row>
    <row r="44" spans="1:5" x14ac:dyDescent="0.3">
      <c r="A44" s="5"/>
      <c r="B44" s="6" t="s">
        <v>14</v>
      </c>
      <c r="C44" s="1" t="s">
        <v>77</v>
      </c>
      <c r="D44" s="123">
        <f>Costs_init!L64</f>
        <v>56.800459339114127</v>
      </c>
      <c r="E44" s="112"/>
    </row>
    <row r="45" spans="1:5" ht="28.8" x14ac:dyDescent="0.3">
      <c r="A45" s="5"/>
      <c r="B45" s="6" t="s">
        <v>94</v>
      </c>
      <c r="C45" s="1" t="s">
        <v>78</v>
      </c>
      <c r="D45" s="123">
        <f>Costs_init!L65</f>
        <v>113.60091867822825</v>
      </c>
      <c r="E45" s="112"/>
    </row>
    <row r="46" spans="1:5" ht="28.8" x14ac:dyDescent="0.3">
      <c r="A46" s="5"/>
      <c r="B46" s="6" t="s">
        <v>95</v>
      </c>
      <c r="C46" s="1" t="s">
        <v>79</v>
      </c>
      <c r="D46" s="123">
        <f>Costs_init!L66</f>
        <v>122.72425068954949</v>
      </c>
      <c r="E46" s="112"/>
    </row>
    <row r="47" spans="1:5" x14ac:dyDescent="0.3">
      <c r="A47" s="5"/>
      <c r="B47" s="6" t="s">
        <v>96</v>
      </c>
      <c r="C47" s="1" t="s">
        <v>80</v>
      </c>
      <c r="D47" s="123">
        <f>Costs_init!L67</f>
        <v>161.21780751992031</v>
      </c>
      <c r="E47" s="112"/>
    </row>
    <row r="48" spans="1:5" x14ac:dyDescent="0.3">
      <c r="A48" s="5"/>
      <c r="B48" s="6" t="s">
        <v>97</v>
      </c>
      <c r="C48" s="1" t="s">
        <v>81</v>
      </c>
      <c r="D48" s="123">
        <f>Costs_init!L68</f>
        <v>303.67028552456838</v>
      </c>
      <c r="E48" s="112"/>
    </row>
    <row r="49" spans="1:5" x14ac:dyDescent="0.3">
      <c r="A49" s="5"/>
      <c r="B49" s="6" t="s">
        <v>98</v>
      </c>
      <c r="C49" s="1" t="s">
        <v>82</v>
      </c>
      <c r="D49" s="123">
        <f>Costs_init!L69</f>
        <v>277.13333138036091</v>
      </c>
      <c r="E49" s="112"/>
    </row>
    <row r="50" spans="1:5" x14ac:dyDescent="0.3">
      <c r="A50" s="5"/>
      <c r="B50" s="6" t="s">
        <v>99</v>
      </c>
      <c r="C50" s="1" t="s">
        <v>83</v>
      </c>
      <c r="D50" s="123">
        <f>Costs_init!L70</f>
        <v>110.85333255214437</v>
      </c>
      <c r="E50" s="112"/>
    </row>
    <row r="51" spans="1:5" x14ac:dyDescent="0.3">
      <c r="A51" s="5"/>
      <c r="B51" s="6" t="s">
        <v>100</v>
      </c>
      <c r="C51" s="1" t="s">
        <v>84</v>
      </c>
      <c r="D51" s="123">
        <f>Costs_init!L71</f>
        <v>277.13333138036091</v>
      </c>
      <c r="E51" s="112"/>
    </row>
    <row r="52" spans="1:5" x14ac:dyDescent="0.3">
      <c r="A52" s="5"/>
      <c r="B52" s="6" t="s">
        <v>101</v>
      </c>
      <c r="C52" s="1" t="s">
        <v>85</v>
      </c>
      <c r="D52" s="123">
        <f>Costs_init!L72</f>
        <v>122.72425068954949</v>
      </c>
      <c r="E52" s="112"/>
    </row>
    <row r="53" spans="1:5" x14ac:dyDescent="0.3">
      <c r="A53" s="8"/>
      <c r="B53" s="9" t="s">
        <v>102</v>
      </c>
      <c r="C53" s="10" t="s">
        <v>86</v>
      </c>
      <c r="D53" s="123">
        <f>Costs_init!L73</f>
        <v>61.362125344774746</v>
      </c>
      <c r="E53" s="113"/>
    </row>
    <row r="54" spans="1:5" x14ac:dyDescent="0.3">
      <c r="A54" s="127" t="s">
        <v>4</v>
      </c>
      <c r="B54" s="128"/>
      <c r="C54" s="128"/>
      <c r="D54" s="128"/>
      <c r="E54" s="114">
        <f>SUM(E3:E53)</f>
        <v>16500.517352669427</v>
      </c>
    </row>
    <row r="55" spans="1:5" x14ac:dyDescent="0.3">
      <c r="E55" s="2"/>
    </row>
    <row r="56" spans="1:5" x14ac:dyDescent="0.3">
      <c r="A56" s="6"/>
      <c r="B56" s="6"/>
    </row>
  </sheetData>
  <mergeCells count="4">
    <mergeCell ref="G1:I1"/>
    <mergeCell ref="G4:H4"/>
    <mergeCell ref="A54:D54"/>
    <mergeCell ref="A1:E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4FB62-BD60-4D19-91EB-FF898F716C5A}">
  <dimension ref="A1:R82"/>
  <sheetViews>
    <sheetView topLeftCell="K1" workbookViewId="0">
      <selection activeCell="E58" sqref="E58"/>
    </sheetView>
  </sheetViews>
  <sheetFormatPr defaultRowHeight="14.4" x14ac:dyDescent="0.3"/>
  <cols>
    <col min="1" max="1" width="3" bestFit="1" customWidth="1"/>
    <col min="2" max="2" width="4" bestFit="1" customWidth="1"/>
    <col min="3" max="3" width="3" bestFit="1" customWidth="1"/>
    <col min="4" max="4" width="38.5546875" customWidth="1"/>
    <col min="5" max="5" width="23.77734375" bestFit="1" customWidth="1"/>
    <col min="9" max="9" width="9.44140625" bestFit="1" customWidth="1"/>
    <col min="10" max="10" width="14.44140625" bestFit="1" customWidth="1"/>
    <col min="11" max="11" width="10.44140625" bestFit="1" customWidth="1"/>
    <col min="12" max="12" width="14.109375" customWidth="1"/>
    <col min="14" max="14" width="8.88671875" bestFit="1" customWidth="1"/>
    <col min="15" max="15" width="33" bestFit="1" customWidth="1"/>
    <col min="16" max="16" width="11.77734375" bestFit="1" customWidth="1"/>
    <col min="17" max="17" width="21.6640625" bestFit="1" customWidth="1"/>
    <col min="18" max="18" width="23.77734375" bestFit="1" customWidth="1"/>
  </cols>
  <sheetData>
    <row r="1" spans="1:16" ht="15" thickBot="1" x14ac:dyDescent="0.35">
      <c r="A1" s="130" t="s">
        <v>191</v>
      </c>
      <c r="B1" s="131"/>
      <c r="C1" s="131"/>
      <c r="D1" s="131"/>
      <c r="E1" s="131"/>
      <c r="F1" s="131"/>
      <c r="G1" s="131"/>
      <c r="H1" s="131"/>
      <c r="I1" s="131"/>
      <c r="J1" s="131"/>
      <c r="K1" s="132"/>
      <c r="L1" s="125" t="s">
        <v>213</v>
      </c>
      <c r="N1" s="127" t="s">
        <v>203</v>
      </c>
      <c r="O1" s="128"/>
      <c r="P1" s="129"/>
    </row>
    <row r="2" spans="1:16" x14ac:dyDescent="0.3">
      <c r="A2" s="12" t="s">
        <v>0</v>
      </c>
      <c r="B2" s="13" t="s">
        <v>1</v>
      </c>
      <c r="C2" s="13" t="s">
        <v>2</v>
      </c>
      <c r="D2" s="13" t="s">
        <v>15</v>
      </c>
      <c r="E2" s="13" t="s">
        <v>19</v>
      </c>
      <c r="F2" s="13" t="s">
        <v>16</v>
      </c>
      <c r="G2" s="13" t="s">
        <v>17</v>
      </c>
      <c r="H2" s="13" t="s">
        <v>18</v>
      </c>
      <c r="I2" s="13" t="s">
        <v>3</v>
      </c>
      <c r="J2" s="13" t="s">
        <v>5</v>
      </c>
      <c r="K2" s="14" t="s">
        <v>4</v>
      </c>
      <c r="L2" s="118"/>
      <c r="N2" s="119" t="s">
        <v>205</v>
      </c>
      <c r="O2" s="118" t="s">
        <v>204</v>
      </c>
      <c r="P2" s="120" t="s">
        <v>4</v>
      </c>
    </row>
    <row r="3" spans="1:16" x14ac:dyDescent="0.3">
      <c r="A3" s="5" t="s">
        <v>6</v>
      </c>
      <c r="B3" s="6"/>
      <c r="C3" s="6"/>
      <c r="D3" s="7" t="s">
        <v>20</v>
      </c>
      <c r="H3" s="111" t="str">
        <f t="shared" ref="H3:H66" si="0">_xlfn.XLOOKUP(E3,$Q$20:$Q$25,$R$20:$R$25,"")</f>
        <v/>
      </c>
      <c r="I3" s="111" t="str">
        <f>IFERROR(H3*F3,"")</f>
        <v/>
      </c>
      <c r="K3" s="115">
        <f>SUM(J4:J19)</f>
        <v>1194.7710082745937</v>
      </c>
      <c r="L3" s="110" t="str">
        <f>IFERROR(I3+($P$10*F3),"")</f>
        <v/>
      </c>
      <c r="N3" s="5" t="s">
        <v>6</v>
      </c>
      <c r="O3" t="s">
        <v>206</v>
      </c>
      <c r="P3" s="121">
        <f>K74</f>
        <v>13383.612572529586</v>
      </c>
    </row>
    <row r="4" spans="1:16" x14ac:dyDescent="0.3">
      <c r="A4" s="5"/>
      <c r="B4" s="6" t="s">
        <v>7</v>
      </c>
      <c r="C4" s="6"/>
      <c r="D4" s="1" t="s">
        <v>21</v>
      </c>
      <c r="E4" t="s">
        <v>104</v>
      </c>
      <c r="F4">
        <v>2</v>
      </c>
      <c r="G4" t="s">
        <v>103</v>
      </c>
      <c r="H4" s="111">
        <f t="shared" si="0"/>
        <v>49.782125344774748</v>
      </c>
      <c r="I4" s="111">
        <f t="shared" ref="I4:I67" si="1">IFERROR(H4*F4,"")</f>
        <v>99.564250689549496</v>
      </c>
      <c r="J4" s="111">
        <f>I4</f>
        <v>99.564250689549496</v>
      </c>
      <c r="K4" s="112"/>
      <c r="L4" s="110">
        <f t="shared" ref="L4:L67" si="2">IFERROR(I4+($P$10*F4),"")</f>
        <v>122.5442506895495</v>
      </c>
      <c r="N4" s="5" t="s">
        <v>8</v>
      </c>
      <c r="O4" t="s">
        <v>207</v>
      </c>
      <c r="P4" s="121">
        <f>K81</f>
        <v>172.5</v>
      </c>
    </row>
    <row r="5" spans="1:16" x14ac:dyDescent="0.3">
      <c r="A5" s="5"/>
      <c r="B5" s="6" t="s">
        <v>13</v>
      </c>
      <c r="C5" s="6"/>
      <c r="D5" s="1" t="s">
        <v>22</v>
      </c>
      <c r="E5" t="s">
        <v>104</v>
      </c>
      <c r="F5">
        <v>2</v>
      </c>
      <c r="G5" t="s">
        <v>103</v>
      </c>
      <c r="H5" s="111">
        <f t="shared" si="0"/>
        <v>49.782125344774748</v>
      </c>
      <c r="I5" s="111">
        <f t="shared" si="1"/>
        <v>99.564250689549496</v>
      </c>
      <c r="J5" s="111">
        <f>I5</f>
        <v>99.564250689549496</v>
      </c>
      <c r="K5" s="112"/>
      <c r="L5" s="110">
        <f t="shared" si="2"/>
        <v>122.5442506895495</v>
      </c>
      <c r="N5" s="5" t="s">
        <v>9</v>
      </c>
      <c r="O5" t="s">
        <v>208</v>
      </c>
      <c r="P5" s="112">
        <f>0.25*(P3+P4)</f>
        <v>3389.0281431323965</v>
      </c>
    </row>
    <row r="6" spans="1:16" x14ac:dyDescent="0.3">
      <c r="A6" s="5"/>
      <c r="B6" s="6" t="s">
        <v>14</v>
      </c>
      <c r="C6" s="6"/>
      <c r="D6" s="1" t="s">
        <v>23</v>
      </c>
      <c r="H6" s="111" t="str">
        <f t="shared" si="0"/>
        <v/>
      </c>
      <c r="I6" s="111" t="str">
        <f t="shared" si="1"/>
        <v/>
      </c>
      <c r="J6" s="111">
        <f>SUM(I7:I19)</f>
        <v>995.64250689549476</v>
      </c>
      <c r="K6" s="112"/>
      <c r="L6" s="110"/>
      <c r="N6" s="127" t="s">
        <v>115</v>
      </c>
      <c r="O6" s="128"/>
      <c r="P6" s="122">
        <f>SUM(P3:P5)</f>
        <v>16945.140715661983</v>
      </c>
    </row>
    <row r="7" spans="1:16" x14ac:dyDescent="0.3">
      <c r="A7" s="5"/>
      <c r="B7" s="6"/>
      <c r="C7" s="6" t="s">
        <v>6</v>
      </c>
      <c r="D7" s="1" t="s">
        <v>24</v>
      </c>
      <c r="E7" t="s">
        <v>104</v>
      </c>
      <c r="F7">
        <v>1</v>
      </c>
      <c r="G7" t="s">
        <v>103</v>
      </c>
      <c r="H7" s="111">
        <f t="shared" si="0"/>
        <v>49.782125344774748</v>
      </c>
      <c r="I7" s="111">
        <f t="shared" si="1"/>
        <v>49.782125344774748</v>
      </c>
      <c r="J7" s="111"/>
      <c r="K7" s="112"/>
      <c r="L7" s="110">
        <f t="shared" si="2"/>
        <v>61.27212534477475</v>
      </c>
    </row>
    <row r="8" spans="1:16" x14ac:dyDescent="0.3">
      <c r="A8" s="5"/>
      <c r="B8" s="6"/>
      <c r="C8" s="6" t="s">
        <v>8</v>
      </c>
      <c r="D8" s="1" t="s">
        <v>25</v>
      </c>
      <c r="E8" t="s">
        <v>104</v>
      </c>
      <c r="F8">
        <v>2</v>
      </c>
      <c r="G8" t="s">
        <v>103</v>
      </c>
      <c r="H8" s="111">
        <f t="shared" si="0"/>
        <v>49.782125344774748</v>
      </c>
      <c r="I8" s="111">
        <f t="shared" si="1"/>
        <v>99.564250689549496</v>
      </c>
      <c r="J8" s="111"/>
      <c r="K8" s="112"/>
      <c r="L8" s="110">
        <f t="shared" si="2"/>
        <v>122.5442506895495</v>
      </c>
      <c r="O8" t="s">
        <v>211</v>
      </c>
      <c r="P8" s="111">
        <f>P6-P3</f>
        <v>3561.5281431323965</v>
      </c>
    </row>
    <row r="9" spans="1:16" x14ac:dyDescent="0.3">
      <c r="A9" s="5"/>
      <c r="B9" s="6"/>
      <c r="C9" s="6" t="s">
        <v>9</v>
      </c>
      <c r="D9" s="1" t="s">
        <v>26</v>
      </c>
      <c r="E9" t="s">
        <v>104</v>
      </c>
      <c r="F9">
        <v>1</v>
      </c>
      <c r="G9" t="s">
        <v>103</v>
      </c>
      <c r="H9" s="111">
        <f t="shared" si="0"/>
        <v>49.782125344774748</v>
      </c>
      <c r="I9" s="111">
        <f t="shared" si="1"/>
        <v>49.782125344774748</v>
      </c>
      <c r="J9" s="111"/>
      <c r="K9" s="112"/>
      <c r="L9" s="110">
        <f t="shared" si="2"/>
        <v>61.27212534477475</v>
      </c>
      <c r="O9" t="s">
        <v>214</v>
      </c>
      <c r="P9" s="126">
        <f>SUM(F4:F73)</f>
        <v>310</v>
      </c>
    </row>
    <row r="10" spans="1:16" x14ac:dyDescent="0.3">
      <c r="A10" s="5"/>
      <c r="B10" s="6"/>
      <c r="C10" s="6" t="s">
        <v>10</v>
      </c>
      <c r="D10" s="1" t="s">
        <v>27</v>
      </c>
      <c r="E10" t="s">
        <v>104</v>
      </c>
      <c r="F10">
        <v>2</v>
      </c>
      <c r="G10" t="s">
        <v>103</v>
      </c>
      <c r="H10" s="111">
        <f t="shared" si="0"/>
        <v>49.782125344774748</v>
      </c>
      <c r="I10" s="111">
        <f t="shared" si="1"/>
        <v>99.564250689549496</v>
      </c>
      <c r="J10" s="111"/>
      <c r="K10" s="112"/>
      <c r="L10" s="110">
        <f t="shared" si="2"/>
        <v>122.5442506895495</v>
      </c>
      <c r="O10" t="s">
        <v>215</v>
      </c>
      <c r="P10" s="123">
        <f>ROUNDUP(P8/P9,2)</f>
        <v>11.49</v>
      </c>
    </row>
    <row r="11" spans="1:16" x14ac:dyDescent="0.3">
      <c r="A11" s="5"/>
      <c r="B11" s="6"/>
      <c r="C11" s="6" t="s">
        <v>11</v>
      </c>
      <c r="D11" s="1" t="s">
        <v>28</v>
      </c>
      <c r="E11" t="s">
        <v>104</v>
      </c>
      <c r="F11">
        <v>1</v>
      </c>
      <c r="G11" t="s">
        <v>103</v>
      </c>
      <c r="H11" s="111">
        <f t="shared" si="0"/>
        <v>49.782125344774748</v>
      </c>
      <c r="I11" s="111">
        <f t="shared" si="1"/>
        <v>49.782125344774748</v>
      </c>
      <c r="J11" s="111"/>
      <c r="K11" s="112"/>
      <c r="L11" s="110">
        <f t="shared" si="2"/>
        <v>61.27212534477475</v>
      </c>
    </row>
    <row r="12" spans="1:16" x14ac:dyDescent="0.3">
      <c r="A12" s="5"/>
      <c r="B12" s="6"/>
      <c r="C12" s="6" t="s">
        <v>12</v>
      </c>
      <c r="D12" s="1" t="s">
        <v>29</v>
      </c>
      <c r="E12" t="s">
        <v>104</v>
      </c>
      <c r="F12">
        <v>1</v>
      </c>
      <c r="G12" t="s">
        <v>103</v>
      </c>
      <c r="H12" s="111">
        <f t="shared" si="0"/>
        <v>49.782125344774748</v>
      </c>
      <c r="I12" s="111">
        <f t="shared" si="1"/>
        <v>49.782125344774748</v>
      </c>
      <c r="J12" s="111"/>
      <c r="K12" s="112"/>
      <c r="L12" s="110">
        <f t="shared" si="2"/>
        <v>61.27212534477475</v>
      </c>
    </row>
    <row r="13" spans="1:16" x14ac:dyDescent="0.3">
      <c r="A13" s="5"/>
      <c r="B13" s="6"/>
      <c r="C13" s="6" t="s">
        <v>87</v>
      </c>
      <c r="D13" s="1" t="s">
        <v>30</v>
      </c>
      <c r="E13" t="s">
        <v>104</v>
      </c>
      <c r="F13">
        <v>2</v>
      </c>
      <c r="G13" t="s">
        <v>103</v>
      </c>
      <c r="H13" s="111">
        <f t="shared" si="0"/>
        <v>49.782125344774748</v>
      </c>
      <c r="I13" s="111">
        <f t="shared" si="1"/>
        <v>99.564250689549496</v>
      </c>
      <c r="J13" s="111"/>
      <c r="K13" s="112"/>
      <c r="L13" s="110">
        <f t="shared" si="2"/>
        <v>122.5442506895495</v>
      </c>
    </row>
    <row r="14" spans="1:16" x14ac:dyDescent="0.3">
      <c r="A14" s="5"/>
      <c r="B14" s="6"/>
      <c r="C14" s="6" t="s">
        <v>88</v>
      </c>
      <c r="D14" s="1" t="s">
        <v>31</v>
      </c>
      <c r="E14" t="s">
        <v>104</v>
      </c>
      <c r="F14">
        <v>2</v>
      </c>
      <c r="G14" t="s">
        <v>103</v>
      </c>
      <c r="H14" s="111">
        <f t="shared" si="0"/>
        <v>49.782125344774748</v>
      </c>
      <c r="I14" s="111">
        <f t="shared" si="1"/>
        <v>99.564250689549496</v>
      </c>
      <c r="J14" s="111"/>
      <c r="K14" s="112"/>
      <c r="L14" s="110">
        <f t="shared" si="2"/>
        <v>122.5442506895495</v>
      </c>
    </row>
    <row r="15" spans="1:16" x14ac:dyDescent="0.3">
      <c r="A15" s="5"/>
      <c r="B15" s="6"/>
      <c r="C15" s="6" t="s">
        <v>89</v>
      </c>
      <c r="D15" s="1" t="s">
        <v>32</v>
      </c>
      <c r="E15" t="s">
        <v>104</v>
      </c>
      <c r="F15">
        <v>2</v>
      </c>
      <c r="G15" t="s">
        <v>103</v>
      </c>
      <c r="H15" s="111">
        <f t="shared" si="0"/>
        <v>49.782125344774748</v>
      </c>
      <c r="I15" s="111">
        <f t="shared" si="1"/>
        <v>99.564250689549496</v>
      </c>
      <c r="J15" s="111"/>
      <c r="K15" s="112"/>
      <c r="L15" s="110">
        <f t="shared" si="2"/>
        <v>122.5442506895495</v>
      </c>
    </row>
    <row r="16" spans="1:16" x14ac:dyDescent="0.3">
      <c r="A16" s="5"/>
      <c r="B16" s="6"/>
      <c r="C16" s="6" t="s">
        <v>90</v>
      </c>
      <c r="D16" s="1" t="s">
        <v>33</v>
      </c>
      <c r="E16" t="s">
        <v>104</v>
      </c>
      <c r="F16">
        <v>2</v>
      </c>
      <c r="G16" t="s">
        <v>103</v>
      </c>
      <c r="H16" s="111">
        <f t="shared" si="0"/>
        <v>49.782125344774748</v>
      </c>
      <c r="I16" s="111">
        <f t="shared" si="1"/>
        <v>99.564250689549496</v>
      </c>
      <c r="J16" s="111"/>
      <c r="K16" s="112"/>
      <c r="L16" s="110">
        <f t="shared" si="2"/>
        <v>122.5442506895495</v>
      </c>
    </row>
    <row r="17" spans="1:18" x14ac:dyDescent="0.3">
      <c r="A17" s="5"/>
      <c r="B17" s="6"/>
      <c r="C17" s="6" t="s">
        <v>91</v>
      </c>
      <c r="D17" s="1" t="s">
        <v>34</v>
      </c>
      <c r="E17" t="s">
        <v>104</v>
      </c>
      <c r="F17">
        <v>1</v>
      </c>
      <c r="G17" t="s">
        <v>103</v>
      </c>
      <c r="H17" s="111">
        <f t="shared" si="0"/>
        <v>49.782125344774748</v>
      </c>
      <c r="I17" s="111">
        <f t="shared" si="1"/>
        <v>49.782125344774748</v>
      </c>
      <c r="J17" s="111"/>
      <c r="K17" s="112"/>
      <c r="L17" s="110">
        <f t="shared" si="2"/>
        <v>61.27212534477475</v>
      </c>
    </row>
    <row r="18" spans="1:18" x14ac:dyDescent="0.3">
      <c r="A18" s="5"/>
      <c r="B18" s="6"/>
      <c r="C18" s="6" t="s">
        <v>92</v>
      </c>
      <c r="D18" s="1" t="s">
        <v>35</v>
      </c>
      <c r="E18" t="s">
        <v>104</v>
      </c>
      <c r="F18">
        <v>1</v>
      </c>
      <c r="G18" t="s">
        <v>103</v>
      </c>
      <c r="H18" s="111">
        <f t="shared" si="0"/>
        <v>49.782125344774748</v>
      </c>
      <c r="I18" s="111">
        <f t="shared" si="1"/>
        <v>49.782125344774748</v>
      </c>
      <c r="J18" s="111"/>
      <c r="K18" s="112"/>
      <c r="L18" s="110">
        <f t="shared" si="2"/>
        <v>61.27212534477475</v>
      </c>
    </row>
    <row r="19" spans="1:18" x14ac:dyDescent="0.3">
      <c r="A19" s="5"/>
      <c r="B19" s="6"/>
      <c r="C19" s="6" t="s">
        <v>93</v>
      </c>
      <c r="D19" s="1" t="s">
        <v>36</v>
      </c>
      <c r="E19" t="s">
        <v>104</v>
      </c>
      <c r="F19">
        <v>2</v>
      </c>
      <c r="G19" t="s">
        <v>103</v>
      </c>
      <c r="H19" s="111">
        <f t="shared" si="0"/>
        <v>49.782125344774748</v>
      </c>
      <c r="I19" s="111">
        <f t="shared" si="1"/>
        <v>99.564250689549496</v>
      </c>
      <c r="J19" s="111"/>
      <c r="K19" s="112"/>
      <c r="L19" s="110">
        <f t="shared" si="2"/>
        <v>122.5442506895495</v>
      </c>
      <c r="Q19" s="7" t="s">
        <v>105</v>
      </c>
      <c r="R19" t="s">
        <v>190</v>
      </c>
    </row>
    <row r="20" spans="1:18" x14ac:dyDescent="0.3">
      <c r="A20" s="5" t="s">
        <v>8</v>
      </c>
      <c r="B20" s="6"/>
      <c r="C20" s="6"/>
      <c r="D20" s="7" t="s">
        <v>37</v>
      </c>
      <c r="H20" s="111" t="str">
        <f t="shared" si="0"/>
        <v/>
      </c>
      <c r="I20" s="111" t="str">
        <f t="shared" si="1"/>
        <v/>
      </c>
      <c r="J20" s="111"/>
      <c r="K20" s="112">
        <f>SUM(J21:J30)</f>
        <v>2433.690244536559</v>
      </c>
      <c r="L20" s="110" t="str">
        <f t="shared" si="2"/>
        <v/>
      </c>
      <c r="Q20" t="s">
        <v>104</v>
      </c>
      <c r="R20" s="110">
        <f>'Company definition'!F82</f>
        <v>49.782125344774748</v>
      </c>
    </row>
    <row r="21" spans="1:18" x14ac:dyDescent="0.3">
      <c r="A21" s="5"/>
      <c r="B21" s="6" t="s">
        <v>7</v>
      </c>
      <c r="C21" s="6"/>
      <c r="D21" s="1" t="s">
        <v>38</v>
      </c>
      <c r="E21" t="s">
        <v>106</v>
      </c>
      <c r="F21">
        <v>1</v>
      </c>
      <c r="G21" t="s">
        <v>103</v>
      </c>
      <c r="H21" s="111">
        <f t="shared" si="0"/>
        <v>42.159269173306768</v>
      </c>
      <c r="I21" s="111">
        <f t="shared" si="1"/>
        <v>42.159269173306768</v>
      </c>
      <c r="J21" s="111">
        <f t="shared" ref="J21:J30" si="3">I21</f>
        <v>42.159269173306768</v>
      </c>
      <c r="K21" s="112"/>
      <c r="L21" s="110">
        <f t="shared" si="2"/>
        <v>53.64926917330677</v>
      </c>
      <c r="Q21" t="s">
        <v>107</v>
      </c>
      <c r="R21" s="110">
        <f>'Company definition'!F85</f>
        <v>45.220459339114129</v>
      </c>
    </row>
    <row r="22" spans="1:18" x14ac:dyDescent="0.3">
      <c r="A22" s="5"/>
      <c r="B22" s="6" t="s">
        <v>13</v>
      </c>
      <c r="C22" s="6"/>
      <c r="D22" s="1" t="s">
        <v>39</v>
      </c>
      <c r="E22" t="s">
        <v>107</v>
      </c>
      <c r="F22">
        <v>4</v>
      </c>
      <c r="G22" t="s">
        <v>103</v>
      </c>
      <c r="H22" s="111">
        <f t="shared" si="0"/>
        <v>45.220459339114129</v>
      </c>
      <c r="I22" s="111">
        <f t="shared" si="1"/>
        <v>180.88183735645651</v>
      </c>
      <c r="J22" s="111">
        <f t="shared" si="3"/>
        <v>180.88183735645651</v>
      </c>
      <c r="K22" s="112"/>
      <c r="L22" s="110">
        <f t="shared" si="2"/>
        <v>226.84183735645652</v>
      </c>
      <c r="Q22" t="s">
        <v>106</v>
      </c>
      <c r="R22" s="110">
        <f>'Company definition'!F84</f>
        <v>42.159269173306768</v>
      </c>
    </row>
    <row r="23" spans="1:18" x14ac:dyDescent="0.3">
      <c r="A23" s="5"/>
      <c r="B23" s="6" t="s">
        <v>14</v>
      </c>
      <c r="C23" s="6"/>
      <c r="D23" s="1" t="s">
        <v>40</v>
      </c>
      <c r="E23" t="s">
        <v>106</v>
      </c>
      <c r="F23">
        <v>1</v>
      </c>
      <c r="G23" t="s">
        <v>103</v>
      </c>
      <c r="H23" s="111">
        <f t="shared" si="0"/>
        <v>42.159269173306768</v>
      </c>
      <c r="I23" s="111">
        <f t="shared" si="1"/>
        <v>42.159269173306768</v>
      </c>
      <c r="J23" s="111">
        <f t="shared" si="3"/>
        <v>42.159269173306768</v>
      </c>
      <c r="K23" s="112"/>
      <c r="L23" s="110">
        <f t="shared" si="2"/>
        <v>53.64926917330677</v>
      </c>
      <c r="Q23" t="s">
        <v>108</v>
      </c>
      <c r="R23" s="110">
        <f>'Company definition'!F86</f>
        <v>49.154057104913683</v>
      </c>
    </row>
    <row r="24" spans="1:18" x14ac:dyDescent="0.3">
      <c r="A24" s="5"/>
      <c r="B24" s="6" t="s">
        <v>94</v>
      </c>
      <c r="C24" s="6"/>
      <c r="D24" s="1" t="s">
        <v>41</v>
      </c>
      <c r="E24" t="s">
        <v>106</v>
      </c>
      <c r="F24">
        <v>1</v>
      </c>
      <c r="G24" t="s">
        <v>103</v>
      </c>
      <c r="H24" s="111">
        <f t="shared" si="0"/>
        <v>42.159269173306768</v>
      </c>
      <c r="I24" s="111">
        <f t="shared" si="1"/>
        <v>42.159269173306768</v>
      </c>
      <c r="J24" s="111">
        <f t="shared" si="3"/>
        <v>42.159269173306768</v>
      </c>
      <c r="K24" s="112"/>
      <c r="L24" s="110">
        <f t="shared" si="2"/>
        <v>53.64926917330677</v>
      </c>
      <c r="Q24" t="s">
        <v>109</v>
      </c>
      <c r="R24" s="110">
        <f>'Company definition'!F87</f>
        <v>43.846666276072185</v>
      </c>
    </row>
    <row r="25" spans="1:18" x14ac:dyDescent="0.3">
      <c r="A25" s="5"/>
      <c r="B25" s="6" t="s">
        <v>95</v>
      </c>
      <c r="C25" s="6"/>
      <c r="D25" s="1" t="s">
        <v>42</v>
      </c>
      <c r="E25" t="s">
        <v>106</v>
      </c>
      <c r="F25">
        <v>2</v>
      </c>
      <c r="G25" t="s">
        <v>103</v>
      </c>
      <c r="H25" s="111">
        <f t="shared" si="0"/>
        <v>42.159269173306768</v>
      </c>
      <c r="I25" s="111">
        <f t="shared" si="1"/>
        <v>84.318538346613536</v>
      </c>
      <c r="J25" s="111">
        <f t="shared" si="3"/>
        <v>84.318538346613536</v>
      </c>
      <c r="K25" s="112"/>
      <c r="L25" s="110">
        <f t="shared" si="2"/>
        <v>107.29853834661354</v>
      </c>
      <c r="Q25" t="s">
        <v>110</v>
      </c>
      <c r="R25" s="110">
        <f>'Company definition'!F88</f>
        <v>38.551814171883898</v>
      </c>
    </row>
    <row r="26" spans="1:18" x14ac:dyDescent="0.3">
      <c r="A26" s="5"/>
      <c r="B26" s="6" t="s">
        <v>96</v>
      </c>
      <c r="C26" s="6"/>
      <c r="D26" s="1" t="s">
        <v>43</v>
      </c>
      <c r="E26" t="s">
        <v>107</v>
      </c>
      <c r="F26">
        <v>6</v>
      </c>
      <c r="G26" t="s">
        <v>103</v>
      </c>
      <c r="H26" s="111">
        <f t="shared" si="0"/>
        <v>45.220459339114129</v>
      </c>
      <c r="I26" s="111">
        <f t="shared" si="1"/>
        <v>271.32275603468474</v>
      </c>
      <c r="J26" s="111">
        <f t="shared" si="3"/>
        <v>271.32275603468474</v>
      </c>
      <c r="K26" s="112"/>
      <c r="L26" s="110">
        <f t="shared" si="2"/>
        <v>340.26275603468474</v>
      </c>
    </row>
    <row r="27" spans="1:18" x14ac:dyDescent="0.3">
      <c r="A27" s="5"/>
      <c r="B27" s="6" t="s">
        <v>97</v>
      </c>
      <c r="C27" s="6"/>
      <c r="D27" s="1" t="s">
        <v>44</v>
      </c>
      <c r="E27" t="s">
        <v>106</v>
      </c>
      <c r="F27">
        <v>22</v>
      </c>
      <c r="G27" t="s">
        <v>103</v>
      </c>
      <c r="H27" s="111">
        <f t="shared" si="0"/>
        <v>42.159269173306768</v>
      </c>
      <c r="I27" s="111">
        <f t="shared" si="1"/>
        <v>927.5039218127489</v>
      </c>
      <c r="J27" s="111">
        <f t="shared" si="3"/>
        <v>927.5039218127489</v>
      </c>
      <c r="K27" s="112"/>
      <c r="L27" s="110">
        <f t="shared" si="2"/>
        <v>1180.283921812749</v>
      </c>
    </row>
    <row r="28" spans="1:18" x14ac:dyDescent="0.3">
      <c r="A28" s="5"/>
      <c r="B28" s="6" t="s">
        <v>98</v>
      </c>
      <c r="C28" s="6"/>
      <c r="D28" s="1" t="s">
        <v>45</v>
      </c>
      <c r="E28" t="s">
        <v>106</v>
      </c>
      <c r="F28">
        <v>8</v>
      </c>
      <c r="G28" t="s">
        <v>103</v>
      </c>
      <c r="H28" s="111">
        <f t="shared" si="0"/>
        <v>42.159269173306768</v>
      </c>
      <c r="I28" s="111">
        <f t="shared" si="1"/>
        <v>337.27415338645415</v>
      </c>
      <c r="J28" s="111">
        <f t="shared" si="3"/>
        <v>337.27415338645415</v>
      </c>
      <c r="K28" s="112"/>
      <c r="L28" s="110">
        <f t="shared" si="2"/>
        <v>429.19415338645416</v>
      </c>
    </row>
    <row r="29" spans="1:18" x14ac:dyDescent="0.3">
      <c r="A29" s="5"/>
      <c r="B29" s="6" t="s">
        <v>99</v>
      </c>
      <c r="C29" s="6"/>
      <c r="D29" s="1" t="s">
        <v>46</v>
      </c>
      <c r="E29" t="s">
        <v>106</v>
      </c>
      <c r="F29">
        <v>4</v>
      </c>
      <c r="G29" t="s">
        <v>103</v>
      </c>
      <c r="H29" s="111">
        <f t="shared" si="0"/>
        <v>42.159269173306768</v>
      </c>
      <c r="I29" s="111">
        <f t="shared" si="1"/>
        <v>168.63707669322707</v>
      </c>
      <c r="J29" s="111">
        <f t="shared" si="3"/>
        <v>168.63707669322707</v>
      </c>
      <c r="K29" s="112"/>
      <c r="L29" s="110">
        <f t="shared" si="2"/>
        <v>214.59707669322708</v>
      </c>
    </row>
    <row r="30" spans="1:18" x14ac:dyDescent="0.3">
      <c r="A30" s="5"/>
      <c r="B30" s="6" t="s">
        <v>100</v>
      </c>
      <c r="C30" s="6"/>
      <c r="D30" s="1" t="s">
        <v>47</v>
      </c>
      <c r="E30" t="s">
        <v>106</v>
      </c>
      <c r="F30">
        <v>8</v>
      </c>
      <c r="G30" t="s">
        <v>103</v>
      </c>
      <c r="H30" s="111">
        <f t="shared" si="0"/>
        <v>42.159269173306768</v>
      </c>
      <c r="I30" s="111">
        <f t="shared" si="1"/>
        <v>337.27415338645415</v>
      </c>
      <c r="J30" s="111">
        <f t="shared" si="3"/>
        <v>337.27415338645415</v>
      </c>
      <c r="K30" s="112"/>
      <c r="L30" s="110">
        <f t="shared" si="2"/>
        <v>429.19415338645416</v>
      </c>
    </row>
    <row r="31" spans="1:18" x14ac:dyDescent="0.3">
      <c r="A31" s="5" t="s">
        <v>9</v>
      </c>
      <c r="B31" s="6"/>
      <c r="C31" s="6"/>
      <c r="D31" s="7" t="s">
        <v>48</v>
      </c>
      <c r="H31" s="111" t="str">
        <f t="shared" si="0"/>
        <v/>
      </c>
      <c r="I31" s="111" t="str">
        <f t="shared" si="1"/>
        <v/>
      </c>
      <c r="J31" s="111"/>
      <c r="K31" s="112">
        <f>SUM(J32:J38)</f>
        <v>2361.0626646076757</v>
      </c>
      <c r="L31" s="110" t="str">
        <f t="shared" si="2"/>
        <v/>
      </c>
    </row>
    <row r="32" spans="1:18" x14ac:dyDescent="0.3">
      <c r="A32" s="5"/>
      <c r="B32" s="6" t="s">
        <v>7</v>
      </c>
      <c r="C32" s="6"/>
      <c r="D32" s="1" t="s">
        <v>49</v>
      </c>
      <c r="E32" t="s">
        <v>108</v>
      </c>
      <c r="F32">
        <v>10</v>
      </c>
      <c r="G32" t="s">
        <v>103</v>
      </c>
      <c r="H32" s="111">
        <f t="shared" si="0"/>
        <v>49.154057104913683</v>
      </c>
      <c r="I32" s="111">
        <f t="shared" si="1"/>
        <v>491.54057104913682</v>
      </c>
      <c r="J32" s="111">
        <f t="shared" ref="J32:J38" si="4">I32</f>
        <v>491.54057104913682</v>
      </c>
      <c r="K32" s="112"/>
      <c r="L32" s="110">
        <f t="shared" si="2"/>
        <v>606.44057104913679</v>
      </c>
    </row>
    <row r="33" spans="1:12" x14ac:dyDescent="0.3">
      <c r="A33" s="5"/>
      <c r="B33" s="6" t="s">
        <v>13</v>
      </c>
      <c r="C33" s="6"/>
      <c r="D33" s="1" t="s">
        <v>50</v>
      </c>
      <c r="E33" t="s">
        <v>110</v>
      </c>
      <c r="F33">
        <v>3</v>
      </c>
      <c r="G33" t="s">
        <v>103</v>
      </c>
      <c r="H33" s="111">
        <f t="shared" si="0"/>
        <v>38.551814171883898</v>
      </c>
      <c r="I33" s="111">
        <f t="shared" si="1"/>
        <v>115.65544251565169</v>
      </c>
      <c r="J33" s="111">
        <f t="shared" si="4"/>
        <v>115.65544251565169</v>
      </c>
      <c r="K33" s="112"/>
      <c r="L33" s="110">
        <f t="shared" si="2"/>
        <v>150.12544251565168</v>
      </c>
    </row>
    <row r="34" spans="1:12" x14ac:dyDescent="0.3">
      <c r="A34" s="5"/>
      <c r="B34" s="6" t="s">
        <v>14</v>
      </c>
      <c r="C34" s="6"/>
      <c r="D34" s="1" t="s">
        <v>51</v>
      </c>
      <c r="E34" t="s">
        <v>109</v>
      </c>
      <c r="F34">
        <v>8</v>
      </c>
      <c r="G34" t="s">
        <v>103</v>
      </c>
      <c r="H34" s="111">
        <f t="shared" si="0"/>
        <v>43.846666276072185</v>
      </c>
      <c r="I34" s="111">
        <f t="shared" si="1"/>
        <v>350.77333020857748</v>
      </c>
      <c r="J34" s="111">
        <f t="shared" si="4"/>
        <v>350.77333020857748</v>
      </c>
      <c r="K34" s="112"/>
      <c r="L34" s="110">
        <f t="shared" si="2"/>
        <v>442.69333020857749</v>
      </c>
    </row>
    <row r="35" spans="1:12" x14ac:dyDescent="0.3">
      <c r="A35" s="5"/>
      <c r="B35" s="6" t="s">
        <v>94</v>
      </c>
      <c r="C35" s="6"/>
      <c r="D35" s="1" t="s">
        <v>52</v>
      </c>
      <c r="E35" t="s">
        <v>109</v>
      </c>
      <c r="F35">
        <v>4</v>
      </c>
      <c r="G35" t="s">
        <v>103</v>
      </c>
      <c r="H35" s="111">
        <f t="shared" si="0"/>
        <v>43.846666276072185</v>
      </c>
      <c r="I35" s="111">
        <f t="shared" si="1"/>
        <v>175.38666510428874</v>
      </c>
      <c r="J35" s="111">
        <f t="shared" si="4"/>
        <v>175.38666510428874</v>
      </c>
      <c r="K35" s="112"/>
      <c r="L35" s="110">
        <f t="shared" si="2"/>
        <v>221.34666510428875</v>
      </c>
    </row>
    <row r="36" spans="1:12" x14ac:dyDescent="0.3">
      <c r="A36" s="5"/>
      <c r="B36" s="6" t="s">
        <v>95</v>
      </c>
      <c r="C36" s="6"/>
      <c r="D36" s="1" t="s">
        <v>53</v>
      </c>
      <c r="E36" t="s">
        <v>109</v>
      </c>
      <c r="F36">
        <v>6</v>
      </c>
      <c r="G36" t="s">
        <v>103</v>
      </c>
      <c r="H36" s="111">
        <f t="shared" si="0"/>
        <v>43.846666276072185</v>
      </c>
      <c r="I36" s="111">
        <f t="shared" si="1"/>
        <v>263.07999765643308</v>
      </c>
      <c r="J36" s="111">
        <f t="shared" si="4"/>
        <v>263.07999765643308</v>
      </c>
      <c r="K36" s="112"/>
      <c r="L36" s="110">
        <f t="shared" si="2"/>
        <v>332.01999765643308</v>
      </c>
    </row>
    <row r="37" spans="1:12" x14ac:dyDescent="0.3">
      <c r="A37" s="5"/>
      <c r="B37" s="6" t="s">
        <v>96</v>
      </c>
      <c r="C37" s="6"/>
      <c r="D37" s="1" t="s">
        <v>54</v>
      </c>
      <c r="E37" t="s">
        <v>109</v>
      </c>
      <c r="F37">
        <v>12</v>
      </c>
      <c r="G37" t="s">
        <v>103</v>
      </c>
      <c r="H37" s="111">
        <f t="shared" si="0"/>
        <v>43.846666276072185</v>
      </c>
      <c r="I37" s="111">
        <f t="shared" si="1"/>
        <v>526.15999531286616</v>
      </c>
      <c r="J37" s="111">
        <f t="shared" si="4"/>
        <v>526.15999531286616</v>
      </c>
      <c r="K37" s="112"/>
      <c r="L37" s="110">
        <f t="shared" si="2"/>
        <v>664.03999531286615</v>
      </c>
    </row>
    <row r="38" spans="1:12" x14ac:dyDescent="0.3">
      <c r="A38" s="5"/>
      <c r="B38" s="6" t="s">
        <v>97</v>
      </c>
      <c r="C38" s="6"/>
      <c r="D38" s="1" t="s">
        <v>194</v>
      </c>
      <c r="E38" t="s">
        <v>109</v>
      </c>
      <c r="F38">
        <v>10</v>
      </c>
      <c r="G38" t="s">
        <v>103</v>
      </c>
      <c r="H38" s="111">
        <f t="shared" si="0"/>
        <v>43.846666276072185</v>
      </c>
      <c r="I38" s="111">
        <f t="shared" si="1"/>
        <v>438.46666276072187</v>
      </c>
      <c r="J38" s="111">
        <f t="shared" si="4"/>
        <v>438.46666276072187</v>
      </c>
      <c r="K38" s="112"/>
      <c r="L38" s="110">
        <f t="shared" si="2"/>
        <v>553.36666276072185</v>
      </c>
    </row>
    <row r="39" spans="1:12" x14ac:dyDescent="0.3">
      <c r="A39" s="5" t="s">
        <v>10</v>
      </c>
      <c r="B39" s="6"/>
      <c r="C39" s="6"/>
      <c r="D39" s="7" t="s">
        <v>55</v>
      </c>
      <c r="E39" t="s">
        <v>109</v>
      </c>
      <c r="F39">
        <v>6</v>
      </c>
      <c r="G39" t="s">
        <v>103</v>
      </c>
      <c r="H39" s="111">
        <f t="shared" si="0"/>
        <v>43.846666276072185</v>
      </c>
      <c r="I39" s="111">
        <f t="shared" si="1"/>
        <v>263.07999765643308</v>
      </c>
      <c r="J39" s="111">
        <f>SUM(I39)</f>
        <v>263.07999765643308</v>
      </c>
      <c r="K39" s="111">
        <f>SUM(J39)</f>
        <v>263.07999765643308</v>
      </c>
      <c r="L39" s="110">
        <f t="shared" si="2"/>
        <v>332.01999765643308</v>
      </c>
    </row>
    <row r="40" spans="1:12" x14ac:dyDescent="0.3">
      <c r="A40" s="5" t="s">
        <v>11</v>
      </c>
      <c r="B40" s="6"/>
      <c r="C40" s="6"/>
      <c r="D40" s="7" t="s">
        <v>56</v>
      </c>
      <c r="H40" s="111" t="str">
        <f t="shared" si="0"/>
        <v/>
      </c>
      <c r="I40" s="111" t="str">
        <f t="shared" si="1"/>
        <v/>
      </c>
      <c r="J40" s="111"/>
      <c r="K40" s="112">
        <f>SUM(J41:J50)</f>
        <v>4485.1818305489533</v>
      </c>
      <c r="L40" s="110" t="str">
        <f t="shared" si="2"/>
        <v/>
      </c>
    </row>
    <row r="41" spans="1:12" x14ac:dyDescent="0.3">
      <c r="A41" s="5"/>
      <c r="B41" s="6" t="s">
        <v>7</v>
      </c>
      <c r="C41" s="6"/>
      <c r="D41" s="1" t="s">
        <v>57</v>
      </c>
      <c r="E41" t="s">
        <v>108</v>
      </c>
      <c r="F41">
        <v>6</v>
      </c>
      <c r="G41" t="s">
        <v>103</v>
      </c>
      <c r="H41" s="111">
        <f t="shared" si="0"/>
        <v>49.154057104913683</v>
      </c>
      <c r="I41" s="111">
        <f t="shared" si="1"/>
        <v>294.92434262948211</v>
      </c>
      <c r="J41" s="111">
        <f>I41</f>
        <v>294.92434262948211</v>
      </c>
      <c r="K41" s="112"/>
      <c r="L41" s="110">
        <f t="shared" si="2"/>
        <v>363.86434262948211</v>
      </c>
    </row>
    <row r="42" spans="1:12" x14ac:dyDescent="0.3">
      <c r="A42" s="5"/>
      <c r="B42" s="6" t="s">
        <v>13</v>
      </c>
      <c r="C42" s="6"/>
      <c r="D42" s="1" t="s">
        <v>58</v>
      </c>
      <c r="E42" t="s">
        <v>108</v>
      </c>
      <c r="F42">
        <v>1</v>
      </c>
      <c r="G42" t="s">
        <v>103</v>
      </c>
      <c r="H42" s="111">
        <f t="shared" si="0"/>
        <v>49.154057104913683</v>
      </c>
      <c r="I42" s="111">
        <f t="shared" si="1"/>
        <v>49.154057104913683</v>
      </c>
      <c r="J42" s="111">
        <f>I42</f>
        <v>49.154057104913683</v>
      </c>
      <c r="K42" s="112"/>
      <c r="L42" s="110">
        <f t="shared" si="2"/>
        <v>60.644057104913685</v>
      </c>
    </row>
    <row r="43" spans="1:12" x14ac:dyDescent="0.3">
      <c r="A43" s="5"/>
      <c r="B43" s="6" t="s">
        <v>14</v>
      </c>
      <c r="C43" s="6"/>
      <c r="D43" s="1" t="s">
        <v>59</v>
      </c>
      <c r="H43" s="111" t="str">
        <f t="shared" si="0"/>
        <v/>
      </c>
      <c r="I43" s="111" t="str">
        <f t="shared" si="1"/>
        <v/>
      </c>
      <c r="J43" s="111">
        <f>SUM(I44:I50)</f>
        <v>4141.1034308145572</v>
      </c>
      <c r="K43" s="112"/>
      <c r="L43" s="110" t="str">
        <f t="shared" si="2"/>
        <v/>
      </c>
    </row>
    <row r="44" spans="1:12" x14ac:dyDescent="0.3">
      <c r="A44" s="5"/>
      <c r="B44" s="6"/>
      <c r="C44" s="6" t="s">
        <v>6</v>
      </c>
      <c r="D44" s="1" t="s">
        <v>60</v>
      </c>
      <c r="E44" t="s">
        <v>110</v>
      </c>
      <c r="F44">
        <v>22</v>
      </c>
      <c r="G44" t="s">
        <v>103</v>
      </c>
      <c r="H44" s="111">
        <f t="shared" si="0"/>
        <v>38.551814171883898</v>
      </c>
      <c r="I44" s="111">
        <f t="shared" si="1"/>
        <v>848.13991178144579</v>
      </c>
      <c r="J44" s="111"/>
      <c r="K44" s="112"/>
      <c r="L44" s="110">
        <f t="shared" si="2"/>
        <v>1100.9199117814458</v>
      </c>
    </row>
    <row r="45" spans="1:12" ht="28.8" x14ac:dyDescent="0.3">
      <c r="A45" s="5"/>
      <c r="B45" s="6"/>
      <c r="C45" s="6" t="s">
        <v>8</v>
      </c>
      <c r="D45" s="1" t="s">
        <v>61</v>
      </c>
      <c r="E45" t="s">
        <v>110</v>
      </c>
      <c r="F45">
        <v>6</v>
      </c>
      <c r="G45" t="s">
        <v>103</v>
      </c>
      <c r="H45" s="111">
        <f t="shared" si="0"/>
        <v>38.551814171883898</v>
      </c>
      <c r="I45" s="111">
        <f t="shared" si="1"/>
        <v>231.31088503130337</v>
      </c>
      <c r="J45" s="111"/>
      <c r="K45" s="112"/>
      <c r="L45" s="110">
        <f t="shared" si="2"/>
        <v>300.25088503130337</v>
      </c>
    </row>
    <row r="46" spans="1:12" ht="28.8" x14ac:dyDescent="0.3">
      <c r="A46" s="5"/>
      <c r="B46" s="6"/>
      <c r="C46" s="6" t="s">
        <v>9</v>
      </c>
      <c r="D46" s="1" t="s">
        <v>62</v>
      </c>
      <c r="E46" t="s">
        <v>109</v>
      </c>
      <c r="F46">
        <v>24</v>
      </c>
      <c r="G46" t="s">
        <v>103</v>
      </c>
      <c r="H46" s="111">
        <f t="shared" si="0"/>
        <v>43.846666276072185</v>
      </c>
      <c r="I46" s="111">
        <f t="shared" si="1"/>
        <v>1052.3199906257323</v>
      </c>
      <c r="J46" s="111"/>
      <c r="K46" s="112"/>
      <c r="L46" s="110">
        <f t="shared" si="2"/>
        <v>1328.0799906257323</v>
      </c>
    </row>
    <row r="47" spans="1:12" x14ac:dyDescent="0.3">
      <c r="A47" s="5"/>
      <c r="B47" s="6"/>
      <c r="C47" s="6" t="s">
        <v>10</v>
      </c>
      <c r="D47" s="1" t="s">
        <v>63</v>
      </c>
      <c r="E47" t="s">
        <v>110</v>
      </c>
      <c r="F47">
        <v>12</v>
      </c>
      <c r="G47" t="s">
        <v>103</v>
      </c>
      <c r="H47" s="111">
        <f t="shared" si="0"/>
        <v>38.551814171883898</v>
      </c>
      <c r="I47" s="111">
        <f t="shared" si="1"/>
        <v>462.62177006260674</v>
      </c>
      <c r="J47" s="111"/>
      <c r="K47" s="112"/>
      <c r="L47" s="110">
        <f t="shared" si="2"/>
        <v>600.50177006260674</v>
      </c>
    </row>
    <row r="48" spans="1:12" x14ac:dyDescent="0.3">
      <c r="A48" s="5"/>
      <c r="B48" s="6"/>
      <c r="C48" s="6" t="s">
        <v>11</v>
      </c>
      <c r="D48" s="1" t="s">
        <v>195</v>
      </c>
      <c r="E48" t="s">
        <v>109</v>
      </c>
      <c r="F48">
        <v>20</v>
      </c>
      <c r="G48" t="s">
        <v>103</v>
      </c>
      <c r="H48" s="111">
        <f t="shared" si="0"/>
        <v>43.846666276072185</v>
      </c>
      <c r="I48" s="111">
        <f t="shared" si="1"/>
        <v>876.93332552144375</v>
      </c>
      <c r="J48" s="111"/>
      <c r="K48" s="112"/>
      <c r="L48" s="110">
        <f t="shared" si="2"/>
        <v>1106.7333255214437</v>
      </c>
    </row>
    <row r="49" spans="1:12" x14ac:dyDescent="0.3">
      <c r="A49" s="5"/>
      <c r="B49" s="6"/>
      <c r="C49" s="6" t="s">
        <v>12</v>
      </c>
      <c r="D49" s="1" t="s">
        <v>64</v>
      </c>
      <c r="E49" t="s">
        <v>109</v>
      </c>
      <c r="F49">
        <v>10</v>
      </c>
      <c r="G49" t="s">
        <v>103</v>
      </c>
      <c r="H49" s="111">
        <f t="shared" si="0"/>
        <v>43.846666276072185</v>
      </c>
      <c r="I49" s="111">
        <f t="shared" si="1"/>
        <v>438.46666276072187</v>
      </c>
      <c r="J49" s="111"/>
      <c r="K49" s="112"/>
      <c r="L49" s="110">
        <f t="shared" si="2"/>
        <v>553.36666276072185</v>
      </c>
    </row>
    <row r="50" spans="1:12" x14ac:dyDescent="0.3">
      <c r="A50" s="5"/>
      <c r="B50" s="6"/>
      <c r="C50" s="6" t="s">
        <v>87</v>
      </c>
      <c r="D50" s="1" t="s">
        <v>65</v>
      </c>
      <c r="E50" t="s">
        <v>110</v>
      </c>
      <c r="F50">
        <v>6</v>
      </c>
      <c r="G50" t="s">
        <v>103</v>
      </c>
      <c r="H50" s="111">
        <f t="shared" si="0"/>
        <v>38.551814171883898</v>
      </c>
      <c r="I50" s="111">
        <f t="shared" si="1"/>
        <v>231.31088503130337</v>
      </c>
      <c r="J50" s="111"/>
      <c r="K50" s="112"/>
      <c r="L50" s="110">
        <f t="shared" si="2"/>
        <v>300.25088503130337</v>
      </c>
    </row>
    <row r="51" spans="1:12" x14ac:dyDescent="0.3">
      <c r="A51" s="5" t="s">
        <v>12</v>
      </c>
      <c r="B51" s="6"/>
      <c r="C51" s="6"/>
      <c r="D51" s="7" t="s">
        <v>66</v>
      </c>
      <c r="H51" s="111" t="str">
        <f t="shared" si="0"/>
        <v/>
      </c>
      <c r="I51" s="111" t="str">
        <f t="shared" si="1"/>
        <v/>
      </c>
      <c r="J51" s="111"/>
      <c r="K51" s="112">
        <f>SUM(J52:J60)</f>
        <v>1359.9032002243127</v>
      </c>
      <c r="L51" s="110" t="str">
        <f t="shared" si="2"/>
        <v/>
      </c>
    </row>
    <row r="52" spans="1:12" x14ac:dyDescent="0.3">
      <c r="A52" s="5"/>
      <c r="B52" s="6" t="s">
        <v>7</v>
      </c>
      <c r="C52" s="6"/>
      <c r="D52" s="1" t="s">
        <v>67</v>
      </c>
      <c r="E52" t="s">
        <v>110</v>
      </c>
      <c r="F52">
        <v>6</v>
      </c>
      <c r="G52" t="s">
        <v>103</v>
      </c>
      <c r="H52" s="111">
        <f t="shared" si="0"/>
        <v>38.551814171883898</v>
      </c>
      <c r="I52" s="111">
        <f t="shared" si="1"/>
        <v>231.31088503130337</v>
      </c>
      <c r="J52" s="111">
        <f t="shared" ref="J52:J60" si="5">I52</f>
        <v>231.31088503130337</v>
      </c>
      <c r="K52" s="112"/>
      <c r="L52" s="110">
        <f t="shared" si="2"/>
        <v>300.25088503130337</v>
      </c>
    </row>
    <row r="53" spans="1:12" x14ac:dyDescent="0.3">
      <c r="A53" s="5"/>
      <c r="B53" s="6" t="s">
        <v>13</v>
      </c>
      <c r="C53" s="6"/>
      <c r="D53" s="1" t="s">
        <v>68</v>
      </c>
      <c r="E53" t="s">
        <v>110</v>
      </c>
      <c r="F53">
        <v>4</v>
      </c>
      <c r="G53" t="s">
        <v>103</v>
      </c>
      <c r="H53" s="111">
        <f t="shared" si="0"/>
        <v>38.551814171883898</v>
      </c>
      <c r="I53" s="111">
        <f t="shared" si="1"/>
        <v>154.20725668753559</v>
      </c>
      <c r="J53" s="111">
        <f t="shared" si="5"/>
        <v>154.20725668753559</v>
      </c>
      <c r="K53" s="112"/>
      <c r="L53" s="110">
        <f t="shared" si="2"/>
        <v>200.1672566875356</v>
      </c>
    </row>
    <row r="54" spans="1:12" x14ac:dyDescent="0.3">
      <c r="A54" s="5"/>
      <c r="B54" s="6" t="s">
        <v>14</v>
      </c>
      <c r="C54" s="6"/>
      <c r="D54" s="1" t="s">
        <v>69</v>
      </c>
      <c r="E54" t="s">
        <v>110</v>
      </c>
      <c r="F54">
        <v>5</v>
      </c>
      <c r="G54" t="s">
        <v>103</v>
      </c>
      <c r="H54" s="111">
        <f t="shared" si="0"/>
        <v>38.551814171883898</v>
      </c>
      <c r="I54" s="111">
        <f t="shared" si="1"/>
        <v>192.7590708594195</v>
      </c>
      <c r="J54" s="111">
        <f t="shared" si="5"/>
        <v>192.7590708594195</v>
      </c>
      <c r="K54" s="112"/>
      <c r="L54" s="110">
        <f t="shared" si="2"/>
        <v>250.20907085941951</v>
      </c>
    </row>
    <row r="55" spans="1:12" x14ac:dyDescent="0.3">
      <c r="A55" s="5"/>
      <c r="B55" s="6" t="s">
        <v>94</v>
      </c>
      <c r="C55" s="6"/>
      <c r="D55" s="1" t="s">
        <v>70</v>
      </c>
      <c r="E55" t="s">
        <v>110</v>
      </c>
      <c r="F55">
        <v>3</v>
      </c>
      <c r="G55" t="s">
        <v>103</v>
      </c>
      <c r="H55" s="111">
        <f t="shared" si="0"/>
        <v>38.551814171883898</v>
      </c>
      <c r="I55" s="111">
        <f t="shared" si="1"/>
        <v>115.65544251565169</v>
      </c>
      <c r="J55" s="111">
        <f t="shared" si="5"/>
        <v>115.65544251565169</v>
      </c>
      <c r="K55" s="112"/>
      <c r="L55" s="110">
        <f t="shared" si="2"/>
        <v>150.12544251565168</v>
      </c>
    </row>
    <row r="56" spans="1:12" x14ac:dyDescent="0.3">
      <c r="A56" s="5"/>
      <c r="B56" s="6" t="s">
        <v>95</v>
      </c>
      <c r="C56" s="6"/>
      <c r="D56" s="1" t="s">
        <v>196</v>
      </c>
      <c r="E56" t="s">
        <v>110</v>
      </c>
      <c r="F56">
        <v>4</v>
      </c>
      <c r="G56" t="s">
        <v>103</v>
      </c>
      <c r="H56" s="111">
        <f t="shared" si="0"/>
        <v>38.551814171883898</v>
      </c>
      <c r="I56" s="111">
        <f t="shared" si="1"/>
        <v>154.20725668753559</v>
      </c>
      <c r="J56" s="111">
        <f t="shared" si="5"/>
        <v>154.20725668753559</v>
      </c>
      <c r="K56" s="112"/>
      <c r="L56" s="110">
        <f t="shared" si="2"/>
        <v>200.1672566875356</v>
      </c>
    </row>
    <row r="57" spans="1:12" x14ac:dyDescent="0.3">
      <c r="A57" s="5"/>
      <c r="B57" s="6" t="s">
        <v>96</v>
      </c>
      <c r="C57" s="6"/>
      <c r="D57" s="1" t="s">
        <v>71</v>
      </c>
      <c r="E57" t="s">
        <v>110</v>
      </c>
      <c r="F57">
        <v>5</v>
      </c>
      <c r="G57" t="s">
        <v>103</v>
      </c>
      <c r="H57" s="111">
        <f t="shared" si="0"/>
        <v>38.551814171883898</v>
      </c>
      <c r="I57" s="111">
        <f t="shared" si="1"/>
        <v>192.7590708594195</v>
      </c>
      <c r="J57" s="111">
        <f t="shared" si="5"/>
        <v>192.7590708594195</v>
      </c>
      <c r="K57" s="112"/>
      <c r="L57" s="110">
        <f t="shared" si="2"/>
        <v>250.20907085941951</v>
      </c>
    </row>
    <row r="58" spans="1:12" x14ac:dyDescent="0.3">
      <c r="A58" s="5"/>
      <c r="B58" s="6" t="s">
        <v>97</v>
      </c>
      <c r="C58" s="6"/>
      <c r="D58" s="1" t="s">
        <v>72</v>
      </c>
      <c r="E58" t="s">
        <v>110</v>
      </c>
      <c r="F58">
        <v>3</v>
      </c>
      <c r="G58" t="s">
        <v>103</v>
      </c>
      <c r="H58" s="111">
        <f t="shared" si="0"/>
        <v>38.551814171883898</v>
      </c>
      <c r="I58" s="111">
        <f t="shared" si="1"/>
        <v>115.65544251565169</v>
      </c>
      <c r="J58" s="111">
        <f t="shared" si="5"/>
        <v>115.65544251565169</v>
      </c>
      <c r="K58" s="112"/>
      <c r="L58" s="110">
        <f t="shared" si="2"/>
        <v>150.12544251565168</v>
      </c>
    </row>
    <row r="59" spans="1:12" x14ac:dyDescent="0.3">
      <c r="A59" s="5"/>
      <c r="B59" s="6" t="s">
        <v>98</v>
      </c>
      <c r="C59" s="6"/>
      <c r="D59" s="1" t="s">
        <v>193</v>
      </c>
      <c r="E59" t="s">
        <v>110</v>
      </c>
      <c r="F59">
        <v>3</v>
      </c>
      <c r="G59" t="s">
        <v>103</v>
      </c>
      <c r="H59" s="111">
        <f t="shared" si="0"/>
        <v>38.551814171883898</v>
      </c>
      <c r="I59" s="111">
        <f t="shared" si="1"/>
        <v>115.65544251565169</v>
      </c>
      <c r="J59" s="111">
        <f t="shared" si="5"/>
        <v>115.65544251565169</v>
      </c>
      <c r="K59" s="112"/>
      <c r="L59" s="110">
        <f t="shared" si="2"/>
        <v>150.12544251565168</v>
      </c>
    </row>
    <row r="60" spans="1:12" x14ac:dyDescent="0.3">
      <c r="A60" s="5"/>
      <c r="B60" s="6" t="s">
        <v>99</v>
      </c>
      <c r="C60" s="6"/>
      <c r="D60" s="1" t="s">
        <v>73</v>
      </c>
      <c r="E60" t="s">
        <v>109</v>
      </c>
      <c r="F60">
        <v>2</v>
      </c>
      <c r="G60" t="s">
        <v>103</v>
      </c>
      <c r="H60" s="111">
        <f t="shared" si="0"/>
        <v>43.846666276072185</v>
      </c>
      <c r="I60" s="111">
        <f t="shared" si="1"/>
        <v>87.693332552144369</v>
      </c>
      <c r="J60" s="111">
        <f t="shared" si="5"/>
        <v>87.693332552144369</v>
      </c>
      <c r="K60" s="112"/>
      <c r="L60" s="110">
        <f t="shared" si="2"/>
        <v>110.67333255214437</v>
      </c>
    </row>
    <row r="61" spans="1:12" x14ac:dyDescent="0.3">
      <c r="A61" s="5" t="s">
        <v>87</v>
      </c>
      <c r="B61" s="6"/>
      <c r="C61" s="6"/>
      <c r="D61" s="7" t="s">
        <v>74</v>
      </c>
      <c r="H61" s="111" t="str">
        <f t="shared" si="0"/>
        <v/>
      </c>
      <c r="I61" s="111" t="str">
        <f t="shared" si="1"/>
        <v/>
      </c>
      <c r="J61" s="111"/>
      <c r="K61" s="112">
        <f>SUM(J62:J73)</f>
        <v>1285.9236266810587</v>
      </c>
      <c r="L61" s="110" t="str">
        <f t="shared" si="2"/>
        <v/>
      </c>
    </row>
    <row r="62" spans="1:12" ht="28.8" x14ac:dyDescent="0.3">
      <c r="A62" s="5"/>
      <c r="B62" s="6" t="s">
        <v>7</v>
      </c>
      <c r="C62" s="6"/>
      <c r="D62" s="1" t="s">
        <v>75</v>
      </c>
      <c r="E62" t="s">
        <v>104</v>
      </c>
      <c r="F62">
        <v>1</v>
      </c>
      <c r="G62" t="s">
        <v>103</v>
      </c>
      <c r="H62" s="111">
        <f t="shared" si="0"/>
        <v>49.782125344774748</v>
      </c>
      <c r="I62" s="111">
        <f t="shared" si="1"/>
        <v>49.782125344774748</v>
      </c>
      <c r="J62" s="111">
        <f t="shared" ref="J62:J73" si="6">I62</f>
        <v>49.782125344774748</v>
      </c>
      <c r="K62" s="112"/>
      <c r="L62" s="110">
        <f t="shared" si="2"/>
        <v>61.27212534477475</v>
      </c>
    </row>
    <row r="63" spans="1:12" x14ac:dyDescent="0.3">
      <c r="A63" s="5"/>
      <c r="B63" s="6" t="s">
        <v>13</v>
      </c>
      <c r="C63" s="6"/>
      <c r="D63" s="1" t="s">
        <v>76</v>
      </c>
      <c r="E63" t="s">
        <v>104</v>
      </c>
      <c r="F63">
        <v>1</v>
      </c>
      <c r="G63" t="s">
        <v>103</v>
      </c>
      <c r="H63" s="111">
        <f t="shared" si="0"/>
        <v>49.782125344774748</v>
      </c>
      <c r="I63" s="111">
        <f t="shared" si="1"/>
        <v>49.782125344774748</v>
      </c>
      <c r="J63" s="111">
        <f t="shared" si="6"/>
        <v>49.782125344774748</v>
      </c>
      <c r="K63" s="112"/>
      <c r="L63" s="110">
        <f t="shared" si="2"/>
        <v>61.27212534477475</v>
      </c>
    </row>
    <row r="64" spans="1:12" x14ac:dyDescent="0.3">
      <c r="A64" s="5"/>
      <c r="B64" s="6" t="s">
        <v>14</v>
      </c>
      <c r="C64" s="6"/>
      <c r="D64" s="1" t="s">
        <v>77</v>
      </c>
      <c r="E64" t="s">
        <v>107</v>
      </c>
      <c r="F64">
        <v>1</v>
      </c>
      <c r="G64" t="s">
        <v>103</v>
      </c>
      <c r="H64" s="111">
        <f t="shared" si="0"/>
        <v>45.220459339114129</v>
      </c>
      <c r="I64" s="111">
        <f t="shared" si="1"/>
        <v>45.220459339114129</v>
      </c>
      <c r="J64" s="111">
        <f t="shared" si="6"/>
        <v>45.220459339114129</v>
      </c>
      <c r="K64" s="112"/>
      <c r="L64" s="110">
        <f t="shared" si="2"/>
        <v>56.710459339114131</v>
      </c>
    </row>
    <row r="65" spans="1:12" ht="28.8" x14ac:dyDescent="0.3">
      <c r="A65" s="5"/>
      <c r="B65" s="6" t="s">
        <v>94</v>
      </c>
      <c r="C65" s="6"/>
      <c r="D65" s="1" t="s">
        <v>78</v>
      </c>
      <c r="E65" t="s">
        <v>107</v>
      </c>
      <c r="F65">
        <v>2</v>
      </c>
      <c r="G65" t="s">
        <v>103</v>
      </c>
      <c r="H65" s="111">
        <f t="shared" si="0"/>
        <v>45.220459339114129</v>
      </c>
      <c r="I65" s="111">
        <f t="shared" si="1"/>
        <v>90.440918678228257</v>
      </c>
      <c r="J65" s="111">
        <f t="shared" si="6"/>
        <v>90.440918678228257</v>
      </c>
      <c r="K65" s="112"/>
      <c r="L65" s="110">
        <f t="shared" si="2"/>
        <v>113.42091867822826</v>
      </c>
    </row>
    <row r="66" spans="1:12" ht="28.8" x14ac:dyDescent="0.3">
      <c r="A66" s="5"/>
      <c r="B66" s="6" t="s">
        <v>95</v>
      </c>
      <c r="C66" s="6"/>
      <c r="D66" s="1" t="s">
        <v>79</v>
      </c>
      <c r="E66" t="s">
        <v>104</v>
      </c>
      <c r="F66">
        <v>3</v>
      </c>
      <c r="G66" t="s">
        <v>103</v>
      </c>
      <c r="H66" s="111">
        <f t="shared" si="0"/>
        <v>49.782125344774748</v>
      </c>
      <c r="I66" s="111">
        <f t="shared" si="1"/>
        <v>149.34637603432424</v>
      </c>
      <c r="J66" s="111">
        <f t="shared" si="6"/>
        <v>149.34637603432424</v>
      </c>
      <c r="K66" s="112"/>
      <c r="L66" s="110">
        <f t="shared" si="2"/>
        <v>183.81637603432424</v>
      </c>
    </row>
    <row r="67" spans="1:12" x14ac:dyDescent="0.3">
      <c r="A67" s="5"/>
      <c r="B67" s="6" t="s">
        <v>96</v>
      </c>
      <c r="C67" s="6"/>
      <c r="D67" s="1" t="s">
        <v>80</v>
      </c>
      <c r="E67" t="s">
        <v>106</v>
      </c>
      <c r="F67">
        <v>2</v>
      </c>
      <c r="G67" t="s">
        <v>103</v>
      </c>
      <c r="H67" s="111">
        <f t="shared" ref="H67:H73" si="7">_xlfn.XLOOKUP(E67,$Q$20:$Q$25,$R$20:$R$25,"")</f>
        <v>42.159269173306768</v>
      </c>
      <c r="I67" s="111">
        <f t="shared" si="1"/>
        <v>84.318538346613536</v>
      </c>
      <c r="J67" s="111">
        <f t="shared" si="6"/>
        <v>84.318538346613536</v>
      </c>
      <c r="K67" s="112"/>
      <c r="L67" s="110">
        <f t="shared" si="2"/>
        <v>107.29853834661354</v>
      </c>
    </row>
    <row r="68" spans="1:12" x14ac:dyDescent="0.3">
      <c r="A68" s="5"/>
      <c r="B68" s="6" t="s">
        <v>97</v>
      </c>
      <c r="C68" s="6"/>
      <c r="D68" s="1" t="s">
        <v>81</v>
      </c>
      <c r="E68" t="s">
        <v>108</v>
      </c>
      <c r="F68">
        <v>3</v>
      </c>
      <c r="G68" t="s">
        <v>103</v>
      </c>
      <c r="H68" s="111">
        <f t="shared" si="7"/>
        <v>49.154057104913683</v>
      </c>
      <c r="I68" s="111">
        <f t="shared" ref="I68:I73" si="8">IFERROR(H68*F68,"")</f>
        <v>147.46217131474106</v>
      </c>
      <c r="J68" s="111">
        <f t="shared" si="6"/>
        <v>147.46217131474106</v>
      </c>
      <c r="K68" s="112"/>
      <c r="L68" s="110">
        <f t="shared" ref="L68:L73" si="9">IFERROR(I68+($P$10*F68),"")</f>
        <v>181.93217131474105</v>
      </c>
    </row>
    <row r="69" spans="1:12" x14ac:dyDescent="0.3">
      <c r="A69" s="5"/>
      <c r="B69" s="6" t="s">
        <v>98</v>
      </c>
      <c r="C69" s="6"/>
      <c r="D69" s="1" t="s">
        <v>82</v>
      </c>
      <c r="E69" t="s">
        <v>109</v>
      </c>
      <c r="F69">
        <v>6</v>
      </c>
      <c r="G69" t="s">
        <v>103</v>
      </c>
      <c r="H69" s="111">
        <f t="shared" si="7"/>
        <v>43.846666276072185</v>
      </c>
      <c r="I69" s="111">
        <f t="shared" si="8"/>
        <v>263.07999765643308</v>
      </c>
      <c r="J69" s="111">
        <f t="shared" si="6"/>
        <v>263.07999765643308</v>
      </c>
      <c r="K69" s="112"/>
      <c r="L69" s="110">
        <f t="shared" si="9"/>
        <v>332.01999765643308</v>
      </c>
    </row>
    <row r="70" spans="1:12" x14ac:dyDescent="0.3">
      <c r="A70" s="5"/>
      <c r="B70" s="6" t="s">
        <v>99</v>
      </c>
      <c r="C70" s="6"/>
      <c r="D70" s="1" t="s">
        <v>83</v>
      </c>
      <c r="E70" t="s">
        <v>109</v>
      </c>
      <c r="F70">
        <v>2</v>
      </c>
      <c r="G70" t="s">
        <v>103</v>
      </c>
      <c r="H70" s="111">
        <f t="shared" si="7"/>
        <v>43.846666276072185</v>
      </c>
      <c r="I70" s="111">
        <f t="shared" si="8"/>
        <v>87.693332552144369</v>
      </c>
      <c r="J70" s="111">
        <f t="shared" si="6"/>
        <v>87.693332552144369</v>
      </c>
      <c r="K70" s="112"/>
      <c r="L70" s="110">
        <f t="shared" si="9"/>
        <v>110.67333255214437</v>
      </c>
    </row>
    <row r="71" spans="1:12" x14ac:dyDescent="0.3">
      <c r="A71" s="5"/>
      <c r="B71" s="6" t="s">
        <v>100</v>
      </c>
      <c r="C71" s="6"/>
      <c r="D71" s="1" t="s">
        <v>84</v>
      </c>
      <c r="E71" t="s">
        <v>109</v>
      </c>
      <c r="F71">
        <v>5</v>
      </c>
      <c r="G71" t="s">
        <v>103</v>
      </c>
      <c r="H71" s="111">
        <f t="shared" si="7"/>
        <v>43.846666276072185</v>
      </c>
      <c r="I71" s="111">
        <f t="shared" si="8"/>
        <v>219.23333138036094</v>
      </c>
      <c r="J71" s="111">
        <f t="shared" si="6"/>
        <v>219.23333138036094</v>
      </c>
      <c r="K71" s="112"/>
      <c r="L71" s="110">
        <f t="shared" si="9"/>
        <v>276.68333138036093</v>
      </c>
    </row>
    <row r="72" spans="1:12" x14ac:dyDescent="0.3">
      <c r="A72" s="5"/>
      <c r="B72" s="6" t="s">
        <v>101</v>
      </c>
      <c r="C72" s="6"/>
      <c r="D72" s="1" t="s">
        <v>85</v>
      </c>
      <c r="E72" t="s">
        <v>104</v>
      </c>
      <c r="F72">
        <v>1</v>
      </c>
      <c r="G72" t="s">
        <v>103</v>
      </c>
      <c r="H72" s="111">
        <f t="shared" si="7"/>
        <v>49.782125344774748</v>
      </c>
      <c r="I72" s="111">
        <f t="shared" si="8"/>
        <v>49.782125344774748</v>
      </c>
      <c r="J72" s="111">
        <f t="shared" si="6"/>
        <v>49.782125344774748</v>
      </c>
      <c r="K72" s="112"/>
      <c r="L72" s="110">
        <f t="shared" si="9"/>
        <v>61.27212534477475</v>
      </c>
    </row>
    <row r="73" spans="1:12" x14ac:dyDescent="0.3">
      <c r="A73" s="8"/>
      <c r="B73" s="9" t="s">
        <v>102</v>
      </c>
      <c r="C73" s="9"/>
      <c r="D73" s="10" t="s">
        <v>86</v>
      </c>
      <c r="E73" s="11" t="s">
        <v>104</v>
      </c>
      <c r="F73" s="11">
        <v>1</v>
      </c>
      <c r="G73" s="11" t="s">
        <v>103</v>
      </c>
      <c r="H73" s="111">
        <f t="shared" si="7"/>
        <v>49.782125344774748</v>
      </c>
      <c r="I73" s="111">
        <f t="shared" si="8"/>
        <v>49.782125344774748</v>
      </c>
      <c r="J73" s="111">
        <f t="shared" si="6"/>
        <v>49.782125344774748</v>
      </c>
      <c r="K73" s="113"/>
      <c r="L73" s="110">
        <f t="shared" si="9"/>
        <v>61.27212534477475</v>
      </c>
    </row>
    <row r="74" spans="1:12" x14ac:dyDescent="0.3">
      <c r="A74" s="127" t="s">
        <v>4</v>
      </c>
      <c r="B74" s="128"/>
      <c r="C74" s="128"/>
      <c r="D74" s="128"/>
      <c r="E74" s="128"/>
      <c r="F74" s="128"/>
      <c r="G74" s="128"/>
      <c r="H74" s="128"/>
      <c r="I74" s="128"/>
      <c r="J74" s="128"/>
      <c r="K74" s="114">
        <f>SUM(K3:K73)</f>
        <v>13383.612572529586</v>
      </c>
      <c r="L74" s="111">
        <f>SUM(L3:L73)</f>
        <v>16945.512572529584</v>
      </c>
    </row>
    <row r="75" spans="1:12" x14ac:dyDescent="0.3">
      <c r="K75" s="2"/>
      <c r="L75" s="2"/>
    </row>
    <row r="76" spans="1:12" ht="15" thickBot="1" x14ac:dyDescent="0.35">
      <c r="A76" s="133" t="s">
        <v>192</v>
      </c>
      <c r="B76" s="134"/>
      <c r="C76" s="134"/>
      <c r="D76" s="134"/>
      <c r="E76" s="134"/>
      <c r="F76" s="134"/>
      <c r="G76" s="134"/>
      <c r="H76" s="134"/>
      <c r="I76" s="134"/>
      <c r="J76" s="134"/>
      <c r="K76" s="135"/>
      <c r="L76" s="124"/>
    </row>
    <row r="77" spans="1:12" x14ac:dyDescent="0.3">
      <c r="A77" s="12" t="s">
        <v>0</v>
      </c>
      <c r="B77" s="13" t="s">
        <v>1</v>
      </c>
      <c r="C77" s="13" t="s">
        <v>2</v>
      </c>
      <c r="D77" s="13" t="s">
        <v>15</v>
      </c>
      <c r="E77" s="13" t="s">
        <v>19</v>
      </c>
      <c r="F77" s="13" t="s">
        <v>16</v>
      </c>
      <c r="G77" s="13" t="s">
        <v>17</v>
      </c>
      <c r="H77" s="13" t="s">
        <v>18</v>
      </c>
      <c r="I77" s="13" t="s">
        <v>3</v>
      </c>
      <c r="J77" s="13" t="s">
        <v>5</v>
      </c>
      <c r="K77" s="14" t="s">
        <v>4</v>
      </c>
      <c r="L77" s="118"/>
    </row>
    <row r="78" spans="1:12" x14ac:dyDescent="0.3">
      <c r="A78" s="5" t="s">
        <v>6</v>
      </c>
      <c r="B78" s="6"/>
      <c r="C78" s="6"/>
      <c r="D78" t="s">
        <v>197</v>
      </c>
      <c r="H78" s="116"/>
      <c r="I78" s="116"/>
      <c r="J78" s="116">
        <f>SUM(I79:I80)</f>
        <v>172.5</v>
      </c>
      <c r="K78" s="117">
        <f>J78</f>
        <v>172.5</v>
      </c>
      <c r="L78" s="116"/>
    </row>
    <row r="79" spans="1:12" x14ac:dyDescent="0.3">
      <c r="A79" s="5"/>
      <c r="B79" s="6" t="s">
        <v>7</v>
      </c>
      <c r="C79" s="6"/>
      <c r="D79" t="s">
        <v>198</v>
      </c>
      <c r="E79" t="s">
        <v>200</v>
      </c>
      <c r="F79">
        <v>150</v>
      </c>
      <c r="G79" t="s">
        <v>201</v>
      </c>
      <c r="H79" s="116">
        <v>0.35</v>
      </c>
      <c r="I79" s="116">
        <f>H79*F79</f>
        <v>52.5</v>
      </c>
      <c r="J79" s="116"/>
      <c r="K79" s="117"/>
      <c r="L79" s="116"/>
    </row>
    <row r="80" spans="1:12" x14ac:dyDescent="0.3">
      <c r="A80" s="5"/>
      <c r="B80" s="6" t="s">
        <v>13</v>
      </c>
      <c r="C80" s="6"/>
      <c r="D80" t="s">
        <v>199</v>
      </c>
      <c r="E80" t="s">
        <v>200</v>
      </c>
      <c r="F80">
        <v>6</v>
      </c>
      <c r="G80" t="s">
        <v>202</v>
      </c>
      <c r="H80" s="116">
        <v>20</v>
      </c>
      <c r="I80" s="116">
        <f>H80*F80</f>
        <v>120</v>
      </c>
      <c r="J80" s="116"/>
      <c r="K80" s="117"/>
      <c r="L80" s="116"/>
    </row>
    <row r="81" spans="1:12" x14ac:dyDescent="0.3">
      <c r="A81" s="127" t="s">
        <v>4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14">
        <f>SUM(K78:K80)</f>
        <v>172.5</v>
      </c>
      <c r="L81" s="111"/>
    </row>
    <row r="82" spans="1:12" x14ac:dyDescent="0.3">
      <c r="A82" s="6"/>
      <c r="B82" s="6"/>
      <c r="C82" s="6"/>
    </row>
  </sheetData>
  <mergeCells count="6">
    <mergeCell ref="A1:K1"/>
    <mergeCell ref="N1:P1"/>
    <mergeCell ref="N6:O6"/>
    <mergeCell ref="A74:J74"/>
    <mergeCell ref="A76:K76"/>
    <mergeCell ref="A81:J81"/>
  </mergeCells>
  <dataValidations count="1">
    <dataValidation type="list" allowBlank="1" showInputMessage="1" showErrorMessage="1" sqref="E3:E73" xr:uid="{C5BB27AF-9B30-4FCF-8E44-DCCBC0FC7FF5}">
      <formula1>$Q$20:$Q$25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38618-631B-43FB-9820-9583257CBFE8}">
  <dimension ref="A1:K56"/>
  <sheetViews>
    <sheetView tabSelected="1" topLeftCell="D1" workbookViewId="0">
      <selection sqref="A1:XFD1048576"/>
    </sheetView>
  </sheetViews>
  <sheetFormatPr defaultRowHeight="14.4" x14ac:dyDescent="0.3"/>
  <cols>
    <col min="1" max="1" width="3" bestFit="1" customWidth="1"/>
    <col min="2" max="2" width="4" bestFit="1" customWidth="1"/>
    <col min="3" max="3" width="37.109375" bestFit="1" customWidth="1"/>
    <col min="4" max="4" width="23.77734375" bestFit="1" customWidth="1"/>
    <col min="5" max="5" width="10.44140625" bestFit="1" customWidth="1"/>
    <col min="7" max="7" width="8.88671875" bestFit="1" customWidth="1"/>
    <col min="8" max="8" width="33" bestFit="1" customWidth="1"/>
    <col min="9" max="9" width="11.77734375" bestFit="1" customWidth="1"/>
    <col min="10" max="10" width="21.6640625" bestFit="1" customWidth="1"/>
    <col min="11" max="11" width="23.77734375" bestFit="1" customWidth="1"/>
  </cols>
  <sheetData>
    <row r="1" spans="1:11" ht="15" thickBot="1" x14ac:dyDescent="0.35">
      <c r="A1" s="130" t="s">
        <v>210</v>
      </c>
      <c r="B1" s="131"/>
      <c r="C1" s="131"/>
      <c r="D1" s="131"/>
      <c r="E1" s="132"/>
      <c r="G1" s="127" t="s">
        <v>209</v>
      </c>
      <c r="H1" s="128"/>
      <c r="I1" s="129"/>
    </row>
    <row r="2" spans="1:11" x14ac:dyDescent="0.3">
      <c r="A2" s="12" t="s">
        <v>0</v>
      </c>
      <c r="B2" s="13" t="s">
        <v>1</v>
      </c>
      <c r="C2" s="13" t="s">
        <v>15</v>
      </c>
      <c r="D2" s="13" t="s">
        <v>212</v>
      </c>
      <c r="E2" s="14" t="s">
        <v>4</v>
      </c>
      <c r="G2" s="119" t="s">
        <v>205</v>
      </c>
      <c r="H2" s="118" t="s">
        <v>204</v>
      </c>
      <c r="I2" s="120" t="s">
        <v>4</v>
      </c>
    </row>
    <row r="3" spans="1:11" x14ac:dyDescent="0.3">
      <c r="A3" s="5" t="s">
        <v>6</v>
      </c>
      <c r="B3" s="6"/>
      <c r="C3" s="7" t="s">
        <v>20</v>
      </c>
      <c r="D3" s="123"/>
      <c r="E3" s="115">
        <f>SUM(D4:D6)</f>
        <v>1470.5310082745939</v>
      </c>
      <c r="G3" s="5" t="s">
        <v>6</v>
      </c>
      <c r="H3" t="s">
        <v>206</v>
      </c>
      <c r="I3" s="121">
        <f>E54</f>
        <v>16945.512572529587</v>
      </c>
    </row>
    <row r="4" spans="1:11" x14ac:dyDescent="0.3">
      <c r="A4" s="5"/>
      <c r="B4" s="6" t="s">
        <v>7</v>
      </c>
      <c r="C4" s="1" t="s">
        <v>21</v>
      </c>
      <c r="D4" s="123">
        <f>Costs_final!L4</f>
        <v>122.5442506895495</v>
      </c>
      <c r="E4" s="112"/>
      <c r="G4" s="127" t="s">
        <v>115</v>
      </c>
      <c r="H4" s="128"/>
      <c r="I4" s="122">
        <f>SUM(I3)</f>
        <v>16945.512572529587</v>
      </c>
    </row>
    <row r="5" spans="1:11" x14ac:dyDescent="0.3">
      <c r="A5" s="5"/>
      <c r="B5" s="6" t="s">
        <v>13</v>
      </c>
      <c r="C5" s="1" t="s">
        <v>22</v>
      </c>
      <c r="D5" s="123">
        <f>Costs_final!L5</f>
        <v>122.5442506895495</v>
      </c>
      <c r="E5" s="112"/>
      <c r="G5" s="6"/>
      <c r="I5" s="111"/>
    </row>
    <row r="6" spans="1:11" x14ac:dyDescent="0.3">
      <c r="A6" s="5"/>
      <c r="B6" s="6" t="s">
        <v>14</v>
      </c>
      <c r="C6" s="1" t="s">
        <v>23</v>
      </c>
      <c r="D6" s="123">
        <f>SUM(Costs_final!L7:L19)</f>
        <v>1225.4425068954949</v>
      </c>
      <c r="E6" s="112"/>
    </row>
    <row r="7" spans="1:11" x14ac:dyDescent="0.3">
      <c r="A7" s="5" t="s">
        <v>8</v>
      </c>
      <c r="B7" s="6"/>
      <c r="C7" s="7" t="s">
        <v>37</v>
      </c>
      <c r="D7" s="123"/>
      <c r="E7" s="112">
        <f>SUM(D8:D17)</f>
        <v>3088.6202445365593</v>
      </c>
      <c r="K7" s="110"/>
    </row>
    <row r="8" spans="1:11" x14ac:dyDescent="0.3">
      <c r="A8" s="5"/>
      <c r="B8" s="6" t="s">
        <v>7</v>
      </c>
      <c r="C8" s="1" t="s">
        <v>38</v>
      </c>
      <c r="D8" s="123">
        <f>Costs_final!L21</f>
        <v>53.64926917330677</v>
      </c>
      <c r="E8" s="112"/>
      <c r="K8" s="110"/>
    </row>
    <row r="9" spans="1:11" x14ac:dyDescent="0.3">
      <c r="A9" s="5"/>
      <c r="B9" s="6" t="s">
        <v>13</v>
      </c>
      <c r="C9" s="1" t="s">
        <v>39</v>
      </c>
      <c r="D9" s="123">
        <f>Costs_final!L22</f>
        <v>226.84183735645652</v>
      </c>
      <c r="E9" s="112"/>
      <c r="K9" s="110"/>
    </row>
    <row r="10" spans="1:11" x14ac:dyDescent="0.3">
      <c r="A10" s="5"/>
      <c r="B10" s="6" t="s">
        <v>14</v>
      </c>
      <c r="C10" s="1" t="s">
        <v>40</v>
      </c>
      <c r="D10" s="123">
        <f>Costs_final!L23</f>
        <v>53.64926917330677</v>
      </c>
      <c r="E10" s="112"/>
      <c r="K10" s="110"/>
    </row>
    <row r="11" spans="1:11" x14ac:dyDescent="0.3">
      <c r="A11" s="5"/>
      <c r="B11" s="6" t="s">
        <v>94</v>
      </c>
      <c r="C11" s="1" t="s">
        <v>41</v>
      </c>
      <c r="D11" s="123">
        <f>Costs_final!L24</f>
        <v>53.64926917330677</v>
      </c>
      <c r="E11" s="112"/>
      <c r="K11" s="110"/>
    </row>
    <row r="12" spans="1:11" x14ac:dyDescent="0.3">
      <c r="A12" s="5"/>
      <c r="B12" s="6" t="s">
        <v>95</v>
      </c>
      <c r="C12" s="1" t="s">
        <v>42</v>
      </c>
      <c r="D12" s="123">
        <f>Costs_final!L25</f>
        <v>107.29853834661354</v>
      </c>
      <c r="E12" s="112"/>
      <c r="K12" s="110"/>
    </row>
    <row r="13" spans="1:11" x14ac:dyDescent="0.3">
      <c r="A13" s="5"/>
      <c r="B13" s="6" t="s">
        <v>96</v>
      </c>
      <c r="C13" s="1" t="s">
        <v>43</v>
      </c>
      <c r="D13" s="123">
        <f>Costs_final!L26</f>
        <v>340.26275603468474</v>
      </c>
      <c r="E13" s="112"/>
    </row>
    <row r="14" spans="1:11" x14ac:dyDescent="0.3">
      <c r="A14" s="5"/>
      <c r="B14" s="6" t="s">
        <v>97</v>
      </c>
      <c r="C14" s="1" t="s">
        <v>44</v>
      </c>
      <c r="D14" s="123">
        <f>Costs_final!L27</f>
        <v>1180.283921812749</v>
      </c>
      <c r="E14" s="112"/>
    </row>
    <row r="15" spans="1:11" x14ac:dyDescent="0.3">
      <c r="A15" s="5"/>
      <c r="B15" s="6" t="s">
        <v>98</v>
      </c>
      <c r="C15" s="1" t="s">
        <v>45</v>
      </c>
      <c r="D15" s="123">
        <f>Costs_final!L28</f>
        <v>429.19415338645416</v>
      </c>
      <c r="E15" s="112"/>
    </row>
    <row r="16" spans="1:11" x14ac:dyDescent="0.3">
      <c r="A16" s="5"/>
      <c r="B16" s="6" t="s">
        <v>99</v>
      </c>
      <c r="C16" s="1" t="s">
        <v>46</v>
      </c>
      <c r="D16" s="123">
        <f>Costs_final!L29</f>
        <v>214.59707669322708</v>
      </c>
      <c r="E16" s="112"/>
    </row>
    <row r="17" spans="1:5" x14ac:dyDescent="0.3">
      <c r="A17" s="5"/>
      <c r="B17" s="6" t="s">
        <v>100</v>
      </c>
      <c r="C17" s="1" t="s">
        <v>47</v>
      </c>
      <c r="D17" s="123">
        <f>Costs_final!L30</f>
        <v>429.19415338645416</v>
      </c>
      <c r="E17" s="112"/>
    </row>
    <row r="18" spans="1:5" x14ac:dyDescent="0.3">
      <c r="A18" s="5" t="s">
        <v>9</v>
      </c>
      <c r="B18" s="6"/>
      <c r="C18" s="7" t="s">
        <v>48</v>
      </c>
      <c r="D18" s="123" t="str">
        <f>Costs_final!L31</f>
        <v/>
      </c>
      <c r="E18" s="112">
        <f>SUM(D19:D25)</f>
        <v>2970.032664607676</v>
      </c>
    </row>
    <row r="19" spans="1:5" x14ac:dyDescent="0.3">
      <c r="A19" s="5"/>
      <c r="B19" s="6" t="s">
        <v>7</v>
      </c>
      <c r="C19" s="1" t="s">
        <v>49</v>
      </c>
      <c r="D19" s="123">
        <f>Costs_final!L32</f>
        <v>606.44057104913679</v>
      </c>
      <c r="E19" s="112"/>
    </row>
    <row r="20" spans="1:5" x14ac:dyDescent="0.3">
      <c r="A20" s="5"/>
      <c r="B20" s="6" t="s">
        <v>13</v>
      </c>
      <c r="C20" s="1" t="s">
        <v>50</v>
      </c>
      <c r="D20" s="123">
        <f>Costs_final!L33</f>
        <v>150.12544251565168</v>
      </c>
      <c r="E20" s="112"/>
    </row>
    <row r="21" spans="1:5" x14ac:dyDescent="0.3">
      <c r="A21" s="5"/>
      <c r="B21" s="6" t="s">
        <v>14</v>
      </c>
      <c r="C21" s="1" t="s">
        <v>51</v>
      </c>
      <c r="D21" s="123">
        <f>Costs_final!L34</f>
        <v>442.69333020857749</v>
      </c>
      <c r="E21" s="112"/>
    </row>
    <row r="22" spans="1:5" x14ac:dyDescent="0.3">
      <c r="A22" s="5"/>
      <c r="B22" s="6" t="s">
        <v>94</v>
      </c>
      <c r="C22" s="1" t="s">
        <v>52</v>
      </c>
      <c r="D22" s="123">
        <f>Costs_final!L35</f>
        <v>221.34666510428875</v>
      </c>
      <c r="E22" s="112"/>
    </row>
    <row r="23" spans="1:5" x14ac:dyDescent="0.3">
      <c r="A23" s="5"/>
      <c r="B23" s="6" t="s">
        <v>95</v>
      </c>
      <c r="C23" s="1" t="s">
        <v>53</v>
      </c>
      <c r="D23" s="123">
        <f>Costs_final!L36</f>
        <v>332.01999765643308</v>
      </c>
      <c r="E23" s="112"/>
    </row>
    <row r="24" spans="1:5" x14ac:dyDescent="0.3">
      <c r="A24" s="5"/>
      <c r="B24" s="6" t="s">
        <v>96</v>
      </c>
      <c r="C24" s="1" t="s">
        <v>54</v>
      </c>
      <c r="D24" s="123">
        <f>Costs_final!L37</f>
        <v>664.03999531286615</v>
      </c>
      <c r="E24" s="112"/>
    </row>
    <row r="25" spans="1:5" x14ac:dyDescent="0.3">
      <c r="A25" s="5"/>
      <c r="B25" s="6" t="s">
        <v>97</v>
      </c>
      <c r="C25" s="1" t="s">
        <v>194</v>
      </c>
      <c r="D25" s="123">
        <f>Costs_final!L38</f>
        <v>553.36666276072185</v>
      </c>
      <c r="E25" s="112"/>
    </row>
    <row r="26" spans="1:5" x14ac:dyDescent="0.3">
      <c r="A26" s="5" t="s">
        <v>10</v>
      </c>
      <c r="B26" s="6"/>
      <c r="C26" s="7" t="s">
        <v>55</v>
      </c>
      <c r="D26" s="123">
        <f>Costs_final!L39</f>
        <v>332.01999765643308</v>
      </c>
      <c r="E26" s="111">
        <f>D26</f>
        <v>332.01999765643308</v>
      </c>
    </row>
    <row r="27" spans="1:5" x14ac:dyDescent="0.3">
      <c r="A27" s="5" t="s">
        <v>11</v>
      </c>
      <c r="B27" s="6"/>
      <c r="C27" s="7" t="s">
        <v>56</v>
      </c>
      <c r="D27" s="123" t="str">
        <f>Costs_final!L40</f>
        <v/>
      </c>
      <c r="E27" s="112">
        <f>SUM(D28:D30)</f>
        <v>5714.6118305489526</v>
      </c>
    </row>
    <row r="28" spans="1:5" x14ac:dyDescent="0.3">
      <c r="A28" s="5"/>
      <c r="B28" s="6" t="s">
        <v>7</v>
      </c>
      <c r="C28" s="1" t="s">
        <v>57</v>
      </c>
      <c r="D28" s="123">
        <f>Costs_final!L41</f>
        <v>363.86434262948211</v>
      </c>
      <c r="E28" s="112"/>
    </row>
    <row r="29" spans="1:5" x14ac:dyDescent="0.3">
      <c r="A29" s="5"/>
      <c r="B29" s="6" t="s">
        <v>13</v>
      </c>
      <c r="C29" s="1" t="s">
        <v>58</v>
      </c>
      <c r="D29" s="123">
        <f>Costs_final!L42</f>
        <v>60.644057104913685</v>
      </c>
      <c r="E29" s="112"/>
    </row>
    <row r="30" spans="1:5" x14ac:dyDescent="0.3">
      <c r="A30" s="5"/>
      <c r="B30" s="6" t="s">
        <v>14</v>
      </c>
      <c r="C30" s="1" t="s">
        <v>59</v>
      </c>
      <c r="D30" s="123">
        <f>SUM(Costs_final!L44:L50)</f>
        <v>5290.1034308145572</v>
      </c>
      <c r="E30" s="112"/>
    </row>
    <row r="31" spans="1:5" x14ac:dyDescent="0.3">
      <c r="A31" s="5" t="s">
        <v>12</v>
      </c>
      <c r="B31" s="6"/>
      <c r="C31" s="7" t="s">
        <v>66</v>
      </c>
      <c r="D31" s="123"/>
      <c r="E31" s="112">
        <f>SUM(D32:D40)</f>
        <v>1762.0532002243128</v>
      </c>
    </row>
    <row r="32" spans="1:5" x14ac:dyDescent="0.3">
      <c r="A32" s="5"/>
      <c r="B32" s="6" t="s">
        <v>7</v>
      </c>
      <c r="C32" s="1" t="s">
        <v>67</v>
      </c>
      <c r="D32" s="123">
        <f>Costs_final!L52</f>
        <v>300.25088503130337</v>
      </c>
      <c r="E32" s="112"/>
    </row>
    <row r="33" spans="1:5" x14ac:dyDescent="0.3">
      <c r="A33" s="5"/>
      <c r="B33" s="6" t="s">
        <v>13</v>
      </c>
      <c r="C33" s="1" t="s">
        <v>68</v>
      </c>
      <c r="D33" s="123">
        <f>Costs_final!L53</f>
        <v>200.1672566875356</v>
      </c>
      <c r="E33" s="112"/>
    </row>
    <row r="34" spans="1:5" x14ac:dyDescent="0.3">
      <c r="A34" s="5"/>
      <c r="B34" s="6" t="s">
        <v>14</v>
      </c>
      <c r="C34" s="1" t="s">
        <v>69</v>
      </c>
      <c r="D34" s="123">
        <f>Costs_final!L54</f>
        <v>250.20907085941951</v>
      </c>
      <c r="E34" s="112"/>
    </row>
    <row r="35" spans="1:5" x14ac:dyDescent="0.3">
      <c r="A35" s="5"/>
      <c r="B35" s="6" t="s">
        <v>94</v>
      </c>
      <c r="C35" s="1" t="s">
        <v>70</v>
      </c>
      <c r="D35" s="123">
        <f>Costs_final!L55</f>
        <v>150.12544251565168</v>
      </c>
      <c r="E35" s="112"/>
    </row>
    <row r="36" spans="1:5" x14ac:dyDescent="0.3">
      <c r="A36" s="5"/>
      <c r="B36" s="6" t="s">
        <v>95</v>
      </c>
      <c r="C36" s="1" t="s">
        <v>196</v>
      </c>
      <c r="D36" s="123">
        <f>Costs_final!L56</f>
        <v>200.1672566875356</v>
      </c>
      <c r="E36" s="112"/>
    </row>
    <row r="37" spans="1:5" x14ac:dyDescent="0.3">
      <c r="A37" s="5"/>
      <c r="B37" s="6" t="s">
        <v>96</v>
      </c>
      <c r="C37" s="1" t="s">
        <v>71</v>
      </c>
      <c r="D37" s="123">
        <f>Costs_final!L57</f>
        <v>250.20907085941951</v>
      </c>
      <c r="E37" s="112"/>
    </row>
    <row r="38" spans="1:5" x14ac:dyDescent="0.3">
      <c r="A38" s="5"/>
      <c r="B38" s="6" t="s">
        <v>97</v>
      </c>
      <c r="C38" s="1" t="s">
        <v>72</v>
      </c>
      <c r="D38" s="123">
        <f>Costs_final!L58</f>
        <v>150.12544251565168</v>
      </c>
      <c r="E38" s="112"/>
    </row>
    <row r="39" spans="1:5" x14ac:dyDescent="0.3">
      <c r="A39" s="5"/>
      <c r="B39" s="6" t="s">
        <v>98</v>
      </c>
      <c r="C39" s="1" t="s">
        <v>193</v>
      </c>
      <c r="D39" s="123">
        <f>Costs_final!L59</f>
        <v>150.12544251565168</v>
      </c>
      <c r="E39" s="112"/>
    </row>
    <row r="40" spans="1:5" x14ac:dyDescent="0.3">
      <c r="A40" s="5"/>
      <c r="B40" s="6" t="s">
        <v>99</v>
      </c>
      <c r="C40" s="1" t="s">
        <v>73</v>
      </c>
      <c r="D40" s="123">
        <f>Costs_final!L60</f>
        <v>110.67333255214437</v>
      </c>
      <c r="E40" s="112"/>
    </row>
    <row r="41" spans="1:5" x14ac:dyDescent="0.3">
      <c r="A41" s="5" t="s">
        <v>87</v>
      </c>
      <c r="B41" s="6"/>
      <c r="C41" s="7" t="s">
        <v>74</v>
      </c>
      <c r="D41" s="123" t="str">
        <f>Costs_final!L61</f>
        <v/>
      </c>
      <c r="E41" s="112">
        <f>SUM(D42:D53)</f>
        <v>1607.6436266810585</v>
      </c>
    </row>
    <row r="42" spans="1:5" ht="28.8" x14ac:dyDescent="0.3">
      <c r="A42" s="5"/>
      <c r="B42" s="6" t="s">
        <v>7</v>
      </c>
      <c r="C42" s="1" t="s">
        <v>75</v>
      </c>
      <c r="D42" s="123">
        <f>Costs_final!L62</f>
        <v>61.27212534477475</v>
      </c>
      <c r="E42" s="112"/>
    </row>
    <row r="43" spans="1:5" x14ac:dyDescent="0.3">
      <c r="A43" s="5"/>
      <c r="B43" s="6" t="s">
        <v>13</v>
      </c>
      <c r="C43" s="1" t="s">
        <v>76</v>
      </c>
      <c r="D43" s="123">
        <f>Costs_final!L63</f>
        <v>61.27212534477475</v>
      </c>
      <c r="E43" s="112"/>
    </row>
    <row r="44" spans="1:5" x14ac:dyDescent="0.3">
      <c r="A44" s="5"/>
      <c r="B44" s="6" t="s">
        <v>14</v>
      </c>
      <c r="C44" s="1" t="s">
        <v>77</v>
      </c>
      <c r="D44" s="123">
        <f>Costs_final!L64</f>
        <v>56.710459339114131</v>
      </c>
      <c r="E44" s="112"/>
    </row>
    <row r="45" spans="1:5" ht="28.8" x14ac:dyDescent="0.3">
      <c r="A45" s="5"/>
      <c r="B45" s="6" t="s">
        <v>94</v>
      </c>
      <c r="C45" s="1" t="s">
        <v>78</v>
      </c>
      <c r="D45" s="123">
        <f>Costs_final!L65</f>
        <v>113.42091867822826</v>
      </c>
      <c r="E45" s="112"/>
    </row>
    <row r="46" spans="1:5" ht="28.8" x14ac:dyDescent="0.3">
      <c r="A46" s="5"/>
      <c r="B46" s="6" t="s">
        <v>95</v>
      </c>
      <c r="C46" s="1" t="s">
        <v>79</v>
      </c>
      <c r="D46" s="123">
        <f>Costs_final!L66</f>
        <v>183.81637603432424</v>
      </c>
      <c r="E46" s="112"/>
    </row>
    <row r="47" spans="1:5" x14ac:dyDescent="0.3">
      <c r="A47" s="5"/>
      <c r="B47" s="6" t="s">
        <v>96</v>
      </c>
      <c r="C47" s="1" t="s">
        <v>80</v>
      </c>
      <c r="D47" s="123">
        <f>Costs_final!L67</f>
        <v>107.29853834661354</v>
      </c>
      <c r="E47" s="112"/>
    </row>
    <row r="48" spans="1:5" x14ac:dyDescent="0.3">
      <c r="A48" s="5"/>
      <c r="B48" s="6" t="s">
        <v>97</v>
      </c>
      <c r="C48" s="1" t="s">
        <v>81</v>
      </c>
      <c r="D48" s="123">
        <f>Costs_final!L68</f>
        <v>181.93217131474105</v>
      </c>
      <c r="E48" s="112"/>
    </row>
    <row r="49" spans="1:5" x14ac:dyDescent="0.3">
      <c r="A49" s="5"/>
      <c r="B49" s="6" t="s">
        <v>98</v>
      </c>
      <c r="C49" s="1" t="s">
        <v>82</v>
      </c>
      <c r="D49" s="123">
        <f>Costs_final!L69</f>
        <v>332.01999765643308</v>
      </c>
      <c r="E49" s="112"/>
    </row>
    <row r="50" spans="1:5" x14ac:dyDescent="0.3">
      <c r="A50" s="5"/>
      <c r="B50" s="6" t="s">
        <v>99</v>
      </c>
      <c r="C50" s="1" t="s">
        <v>83</v>
      </c>
      <c r="D50" s="123">
        <f>Costs_final!L70</f>
        <v>110.67333255214437</v>
      </c>
      <c r="E50" s="112"/>
    </row>
    <row r="51" spans="1:5" x14ac:dyDescent="0.3">
      <c r="A51" s="5"/>
      <c r="B51" s="6" t="s">
        <v>100</v>
      </c>
      <c r="C51" s="1" t="s">
        <v>84</v>
      </c>
      <c r="D51" s="123">
        <f>Costs_final!L71</f>
        <v>276.68333138036093</v>
      </c>
      <c r="E51" s="112"/>
    </row>
    <row r="52" spans="1:5" x14ac:dyDescent="0.3">
      <c r="A52" s="5"/>
      <c r="B52" s="6" t="s">
        <v>101</v>
      </c>
      <c r="C52" s="1" t="s">
        <v>85</v>
      </c>
      <c r="D52" s="123">
        <f>Costs_final!L72</f>
        <v>61.27212534477475</v>
      </c>
      <c r="E52" s="112"/>
    </row>
    <row r="53" spans="1:5" x14ac:dyDescent="0.3">
      <c r="A53" s="8"/>
      <c r="B53" s="9" t="s">
        <v>102</v>
      </c>
      <c r="C53" s="10" t="s">
        <v>86</v>
      </c>
      <c r="D53" s="123">
        <f>Costs_final!L73</f>
        <v>61.27212534477475</v>
      </c>
      <c r="E53" s="113"/>
    </row>
    <row r="54" spans="1:5" x14ac:dyDescent="0.3">
      <c r="A54" s="127" t="s">
        <v>4</v>
      </c>
      <c r="B54" s="128"/>
      <c r="C54" s="128"/>
      <c r="D54" s="128"/>
      <c r="E54" s="114">
        <f>SUM(E3:E53)</f>
        <v>16945.512572529587</v>
      </c>
    </row>
    <row r="55" spans="1:5" x14ac:dyDescent="0.3">
      <c r="E55" s="2"/>
    </row>
    <row r="56" spans="1:5" x14ac:dyDescent="0.3">
      <c r="A56" s="6"/>
      <c r="B56" s="6"/>
    </row>
  </sheetData>
  <mergeCells count="4">
    <mergeCell ref="A1:E1"/>
    <mergeCell ref="G1:I1"/>
    <mergeCell ref="G4:H4"/>
    <mergeCell ref="A54:D5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Company definition</vt:lpstr>
      <vt:lpstr>Costs_init</vt:lpstr>
      <vt:lpstr>Client_init</vt:lpstr>
      <vt:lpstr>Costs_final</vt:lpstr>
      <vt:lpstr>Client_final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Carrasco Arango</dc:creator>
  <cp:lastModifiedBy>Javier Carrasco Arango</cp:lastModifiedBy>
  <dcterms:created xsi:type="dcterms:W3CDTF">2015-06-05T18:17:20Z</dcterms:created>
  <dcterms:modified xsi:type="dcterms:W3CDTF">2026-06-20T09:37:32Z</dcterms:modified>
</cp:coreProperties>
</file>