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0FFC3930-7616-4036-A087-C25AF39D5A5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mpany definition" sheetId="2" r:id="rId1"/>
    <sheet name="Costs_init" sheetId="1" r:id="rId2"/>
    <sheet name="Client_init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5" l="1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0" i="5"/>
  <c r="E27" i="5" s="1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6" i="5"/>
  <c r="D5" i="5"/>
  <c r="D4" i="5"/>
  <c r="L74" i="1"/>
  <c r="L4" i="1"/>
  <c r="L5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3" i="1"/>
  <c r="P10" i="1"/>
  <c r="P9" i="1"/>
  <c r="E41" i="5"/>
  <c r="E31" i="5"/>
  <c r="E26" i="5"/>
  <c r="I80" i="1"/>
  <c r="I79" i="1"/>
  <c r="J78" i="1"/>
  <c r="K78" i="1" s="1"/>
  <c r="K81" i="1" s="1"/>
  <c r="P4" i="1" s="1"/>
  <c r="H20" i="1"/>
  <c r="I20" i="1" s="1"/>
  <c r="H31" i="1"/>
  <c r="I31" i="1" s="1"/>
  <c r="H33" i="1"/>
  <c r="I33" i="1" s="1"/>
  <c r="J33" i="1" s="1"/>
  <c r="H40" i="1"/>
  <c r="I40" i="1" s="1"/>
  <c r="H43" i="1"/>
  <c r="I43" i="1" s="1"/>
  <c r="H45" i="1"/>
  <c r="I45" i="1" s="1"/>
  <c r="H51" i="1"/>
  <c r="I51" i="1" s="1"/>
  <c r="H61" i="1"/>
  <c r="I61" i="1" s="1"/>
  <c r="H3" i="1"/>
  <c r="I3" i="1" s="1"/>
  <c r="H7" i="1"/>
  <c r="I7" i="1" s="1"/>
  <c r="R25" i="1"/>
  <c r="H47" i="1" s="1"/>
  <c r="I47" i="1" s="1"/>
  <c r="R24" i="1"/>
  <c r="H35" i="1" s="1"/>
  <c r="I35" i="1" s="1"/>
  <c r="J35" i="1" s="1"/>
  <c r="R23" i="1"/>
  <c r="H42" i="1" s="1"/>
  <c r="I42" i="1" s="1"/>
  <c r="J42" i="1" s="1"/>
  <c r="R21" i="1"/>
  <c r="H26" i="1" s="1"/>
  <c r="I26" i="1" s="1"/>
  <c r="J26" i="1" s="1"/>
  <c r="R22" i="1"/>
  <c r="H23" i="1" s="1"/>
  <c r="I23" i="1" s="1"/>
  <c r="J23" i="1" s="1"/>
  <c r="R20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E18" i="5" l="1"/>
  <c r="E7" i="5"/>
  <c r="H34" i="1"/>
  <c r="I34" i="1" s="1"/>
  <c r="J34" i="1" s="1"/>
  <c r="H69" i="1"/>
  <c r="I69" i="1" s="1"/>
  <c r="J69" i="1" s="1"/>
  <c r="H67" i="1"/>
  <c r="I67" i="1" s="1"/>
  <c r="J67" i="1" s="1"/>
  <c r="H70" i="1"/>
  <c r="I70" i="1" s="1"/>
  <c r="J70" i="1" s="1"/>
  <c r="H64" i="1"/>
  <c r="I64" i="1" s="1"/>
  <c r="J64" i="1" s="1"/>
  <c r="H57" i="1"/>
  <c r="I57" i="1" s="1"/>
  <c r="J57" i="1" s="1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J43" i="1" l="1"/>
  <c r="K61" i="1"/>
  <c r="K51" i="1"/>
  <c r="K40" i="1"/>
  <c r="K31" i="1"/>
  <c r="K20" i="1"/>
  <c r="J6" i="1"/>
  <c r="K3" i="2"/>
  <c r="B77" i="2"/>
  <c r="F82" i="2"/>
  <c r="B82" i="2"/>
  <c r="D24" i="2"/>
  <c r="K2" i="2" s="1"/>
  <c r="K4" i="2" s="1"/>
  <c r="K3" i="1" l="1"/>
  <c r="K5" i="2"/>
  <c r="K6" i="2"/>
  <c r="F87" i="2"/>
  <c r="B78" i="2"/>
  <c r="F88" i="2"/>
  <c r="F86" i="2"/>
  <c r="F84" i="2"/>
  <c r="F83" i="2"/>
  <c r="F89" i="2"/>
  <c r="F85" i="2"/>
  <c r="C85" i="2" l="1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E90" i="2" l="1"/>
  <c r="K7" i="2" s="1"/>
  <c r="K8" i="2" s="1"/>
  <c r="K74" i="1" l="1"/>
  <c r="P3" i="1" s="1"/>
  <c r="P5" i="1" l="1"/>
  <c r="P6" i="1"/>
  <c r="P8" i="1" s="1"/>
  <c r="E3" i="5" l="1"/>
  <c r="E54" i="5" s="1"/>
  <c r="I3" i="5" s="1"/>
  <c r="I4" i="5" s="1"/>
</calcChain>
</file>

<file path=xl/sharedStrings.xml><?xml version="1.0" encoding="utf-8"?>
<sst xmlns="http://schemas.openxmlformats.org/spreadsheetml/2006/main" count="571" uniqueCount="216">
  <si>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</si>
  <si>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</si>
  <si>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</si>
  <si>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</si>
  <si>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</si>
  <si>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</si>
  <si>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</si>
  <si>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</si>
  <si>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</si>
  <si>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</si>
  <si>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</si>
  <si>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</si>
  <si>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</si>
  <si>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</si>
  <si>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</si>
  <si>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</si>
  <si>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</si>
  <si>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</si>
  <si>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</si>
  <si>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</si>
  <si>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</si>
  <si>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</si>
  <si>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</si>
  <si>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</si>
  <si>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</si>
  <si>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</si>
  <si>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</si>
  <si>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</si>
  <si>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</si>
  <si>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</si>
  <si>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</si>
  <si>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</si>
  <si>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</si>
  <si>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</si>
  <si>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</si>
  <si>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</si>
  <si>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</si>
  <si>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</si>
  <si>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</si>
  <si>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</si>
  <si>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</si>
  <si>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</si>
  <si>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</si>
  <si>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</si>
  <si>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</si>
  <si>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</si>
  <si>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</si>
  <si>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</si>
  <si>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</si>
  <si>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</si>
  <si>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</si>
  <si>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</si>
  <si>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</si>
  <si>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</si>
  <si>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</si>
  <si>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</si>
  <si>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</si>
  <si>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</si>
  <si>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</si>
  <si>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</si>
  <si>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</si>
  <si>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</si>
  <si>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</si>
  <si>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</si>
  <si>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</si>
  <si>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</si>
  <si>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</si>
  <si>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</si>
  <si>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</si>
  <si>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</si>
  <si>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</si>
  <si>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modifying concurrency system</t>
  </si>
  <si>
    <t xml:space="preserve">   Test search and filtering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</si>
  <si>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</si>
  <si>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</si>
  <si>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</si>
  <si>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</si>
  <si>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</si>
  <si>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</si>
  <si>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</si>
  <si>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</si>
  <si>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</si>
  <si>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</si>
  <si>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</si>
  <si>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</si>
  <si>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</si>
  <si>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</si>
  <si>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</si>
  <si>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</si>
  <si>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</si>
  <si>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</si>
  <si>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</si>
  <si>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</si>
  <si>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</si>
  <si>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</si>
  <si>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</si>
  <si>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</si>
  <si>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</si>
  <si>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</si>
  <si>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</si>
  <si>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</si>
  <si>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</si>
  <si>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</si>
  <si>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</si>
  <si>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</si>
  <si>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</si>
  <si>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</si>
  <si>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</si>
  <si>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</si>
  <si>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</si>
  <si>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</si>
  <si>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</si>
  <si>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</si>
  <si>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</si>
  <si>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</si>
  <si>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</si>
  <si>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</si>
  <si>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</si>
  <si>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</si>
  <si>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</si>
  <si>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</si>
  <si>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</si>
  <si>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</si>
  <si>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</si>
  <si>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</si>
  <si>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</si>
  <si>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</si>
  <si>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</si>
  <si>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</si>
  <si>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</si>
  <si>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</si>
  <si>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</si>
  <si>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</si>
  <si>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</si>
  <si>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</si>
  <si>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</si>
  <si>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</si>
  <si>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</si>
  <si>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</si>
  <si>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</si>
  <si>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</si>
  <si>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</si>
  <si>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</si>
  <si>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</si>
  <si>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</si>
  <si>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</si>
  <si>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</si>
  <si>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</si>
  <si>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</si>
  <si>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</si>
  <si>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</si>
  <si>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</si>
  <si>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</si>
  <si>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</si>
  <si>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</si>
  <si>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</si>
  <si>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</si>
  <si>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</si>
  <si>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</si>
  <si>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</si>
  <si>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</si>
  <si>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</si>
  <si>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</si>
  <si>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</si>
  <si>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</si>
  <si>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</si>
  <si>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</si>
  <si>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</si>
  <si>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</si>
  <si>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</si>
  <si>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</si>
  <si>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</si>
  <si>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</si>
  <si>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</si>
  <si>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</si>
  <si>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</si>
  <si>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</si>
  <si>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</si>
  <si>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</si>
  <si>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</si>
  <si>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</si>
  <si>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</si>
  <si>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</si>
  <si>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</si>
  <si>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</si>
  <si>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</si>
  <si>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</si>
  <si>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</si>
  <si>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</si>
  <si>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</si>
  <si>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</si>
  <si>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Category 1: IrBoard development costs breakdown</t>
  </si>
  <si>
    <t>Category 2: Other</t>
  </si>
  <si>
    <t xml:space="preserve">   Usability and accesibility testing</t>
  </si>
  <si>
    <t xml:space="preserve">   Design document management </t>
  </si>
  <si>
    <t xml:space="preserve">      Develop document management </t>
  </si>
  <si>
    <t xml:space="preserve">   Test document management  </t>
  </si>
  <si>
    <t>Travel and transportation expenses</t>
  </si>
  <si>
    <t>Travel to client facilities (deployment/support)</t>
  </si>
  <si>
    <t>Meals/daily allowance</t>
  </si>
  <si>
    <t>-</t>
  </si>
  <si>
    <t>km</t>
  </si>
  <si>
    <t>meals</t>
  </si>
  <si>
    <t>IrBoard costs</t>
  </si>
  <si>
    <t>Category</t>
  </si>
  <si>
    <t>Cat. Num</t>
  </si>
  <si>
    <t>IrBoard development costs breakdown</t>
  </si>
  <si>
    <t>Other</t>
  </si>
  <si>
    <t>Profit (25%)</t>
  </si>
  <si>
    <t>Simplified client budget</t>
  </si>
  <si>
    <t>Detailed client budget</t>
  </si>
  <si>
    <t>amount to be increased on the first category</t>
  </si>
  <si>
    <t>Cost</t>
  </si>
  <si>
    <t>with proportional increase</t>
  </si>
  <si>
    <t>total hours</t>
  </si>
  <si>
    <t>increase per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</si>
</sst>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1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/>
    <xf numFmtId="0" fontId="2" fillId="0" borderId="0" xfId="0" applyFont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164" fontId="0" fillId="0" borderId="0" xfId="0" applyNumberFormat="1"/>
    <xf numFmtId="164" fontId="0" fillId="0" borderId="12" xfId="0" applyNumberFormat="1" applyBorder="1"/>
    <xf numFmtId="164" fontId="0" fillId="0" borderId="15" xfId="0" applyNumberFormat="1" applyBorder="1"/>
    <xf numFmtId="164" fontId="0" fillId="0" borderId="4" xfId="0" applyNumberFormat="1" applyBorder="1"/>
    <xf numFmtId="164" fontId="0" fillId="0" borderId="10" xfId="0" applyNumberFormat="1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0" xfId="0" applyBorder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44" fontId="0" fillId="0" borderId="0" xfId="1" applyFont="1" applyBorder="1"/>
    <xf numFmtId="44" fontId="0" fillId="0" borderId="12" xfId="1" applyFont="1" applyBorder="1"/>
    <xf numFmtId="0" fontId="2" fillId="0" borderId="0" xfId="0" applyFont="1" applyFill="1" applyBorder="1"/>
    <xf numFmtId="0" fontId="2" fillId="0" borderId="11" xfId="0" applyFont="1" applyFill="1" applyBorder="1"/>
    <xf numFmtId="0" fontId="2" fillId="0" borderId="12" xfId="0" applyFont="1" applyFill="1" applyBorder="1"/>
    <xf numFmtId="0" fontId="0" fillId="0" borderId="29" xfId="0" applyBorder="1" applyAlignment="1">
      <alignment horizontal="center"/>
    </xf>
    <xf numFmtId="164" fontId="0" fillId="0" borderId="12" xfId="1" applyNumberFormat="1" applyFont="1" applyBorder="1"/>
    <xf numFmtId="164" fontId="0" fillId="0" borderId="4" xfId="1" applyNumberFormat="1" applyFont="1" applyBorder="1"/>
    <xf numFmtId="164" fontId="0" fillId="0" borderId="0" xfId="0" applyNumberFormat="1" applyBorder="1"/>
    <xf numFmtId="44" fontId="0" fillId="0" borderId="0" xfId="1" applyFont="1"/>
    <xf numFmtId="0" fontId="2" fillId="0" borderId="0" xfId="0" applyFont="1" applyBorder="1"/>
    <xf numFmtId="0" fontId="0" fillId="0" borderId="0" xfId="0" applyBorder="1" applyAlignment="1">
      <alignment horizontal="center"/>
    </xf>
    <xf numFmtId="44" fontId="0" fillId="0" borderId="0" xfId="0" applyNumberFormat="1" applyBorder="1"/>
    <xf numFmtId="0" fontId="2" fillId="0" borderId="0" xfId="0" applyFont="1" applyBorder="1" applyAlignment="1">
      <alignment horizontal="left"/>
    </xf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topLeftCell="A7" zoomScale="80" zoomScaleNormal="80" workbookViewId="0">
      <selection activeCell="I23" sqref="A1:XFD1048576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59" t="s">
        <v>117</v>
      </c>
      <c r="B1" s="109" t="s">
        <v>116</v>
      </c>
      <c r="C1" s="58" t="s">
        <v>124</v>
      </c>
      <c r="D1" s="58" t="s">
        <v>125</v>
      </c>
      <c r="E1" s="108" t="s">
        <v>115</v>
      </c>
      <c r="F1" s="4"/>
      <c r="G1" s="4"/>
      <c r="H1" s="107" t="s">
        <v>114</v>
      </c>
      <c r="I1" s="106" t="s">
        <v>126</v>
      </c>
      <c r="J1" s="106" t="s">
        <v>113</v>
      </c>
      <c r="K1" s="105" t="s">
        <v>127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15" customFormat="1" x14ac:dyDescent="0.3">
      <c r="A2" s="29" t="s">
        <v>118</v>
      </c>
      <c r="B2" s="64">
        <v>1</v>
      </c>
      <c r="C2" s="65">
        <v>76243</v>
      </c>
      <c r="D2" s="65">
        <v>91781.35</v>
      </c>
      <c r="E2" s="25">
        <f t="shared" ref="E2:E10" si="0">B2*D2</f>
        <v>91781.35</v>
      </c>
      <c r="F2" s="4"/>
      <c r="G2" s="4"/>
      <c r="H2" s="102">
        <v>1</v>
      </c>
      <c r="I2" s="15" t="s">
        <v>128</v>
      </c>
      <c r="K2" s="101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32" t="s">
        <v>104</v>
      </c>
      <c r="B3" s="67">
        <v>1</v>
      </c>
      <c r="C3" s="68">
        <v>40550</v>
      </c>
      <c r="D3" s="68">
        <v>53039.4</v>
      </c>
      <c r="E3" s="78">
        <f t="shared" si="0"/>
        <v>53039.4</v>
      </c>
      <c r="F3" s="4"/>
      <c r="G3" s="4"/>
      <c r="H3" s="100">
        <v>2</v>
      </c>
      <c r="I3" t="s">
        <v>129</v>
      </c>
      <c r="K3" s="103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15" customFormat="1" x14ac:dyDescent="0.3">
      <c r="A4" s="29" t="s">
        <v>119</v>
      </c>
      <c r="B4" s="64">
        <v>1</v>
      </c>
      <c r="C4" s="65">
        <v>25135</v>
      </c>
      <c r="D4" s="65">
        <v>32876.58</v>
      </c>
      <c r="E4" s="25">
        <f t="shared" si="0"/>
        <v>32876.58</v>
      </c>
      <c r="F4" s="4"/>
      <c r="G4" s="4"/>
      <c r="H4" s="102">
        <v>3</v>
      </c>
      <c r="I4" s="15" t="s">
        <v>130</v>
      </c>
      <c r="K4" s="101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32" t="s">
        <v>120</v>
      </c>
      <c r="B5" s="67">
        <v>1</v>
      </c>
      <c r="C5" s="68">
        <v>35574</v>
      </c>
      <c r="D5" s="68">
        <v>46530.79</v>
      </c>
      <c r="E5" s="78">
        <f t="shared" si="0"/>
        <v>46530.79</v>
      </c>
      <c r="F5" s="4"/>
      <c r="G5" s="4"/>
      <c r="H5" s="100">
        <v>4</v>
      </c>
      <c r="I5" t="s">
        <v>131</v>
      </c>
      <c r="J5" s="104">
        <v>0.25</v>
      </c>
      <c r="K5" s="103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15" customFormat="1" x14ac:dyDescent="0.3">
      <c r="A6" s="29" t="s">
        <v>107</v>
      </c>
      <c r="B6" s="64">
        <v>1</v>
      </c>
      <c r="C6" s="65">
        <v>41988</v>
      </c>
      <c r="D6" s="65">
        <v>54920.3</v>
      </c>
      <c r="E6" s="25">
        <f t="shared" si="0"/>
        <v>54920.3</v>
      </c>
      <c r="F6" s="4"/>
      <c r="G6" s="4"/>
      <c r="H6" s="102">
        <v>5</v>
      </c>
      <c r="I6" s="15" t="s">
        <v>132</v>
      </c>
      <c r="K6" s="101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32" t="s">
        <v>108</v>
      </c>
      <c r="B7" s="67">
        <v>1</v>
      </c>
      <c r="C7" s="68">
        <v>44369</v>
      </c>
      <c r="D7" s="68">
        <v>58034.65</v>
      </c>
      <c r="E7" s="78">
        <f t="shared" si="0"/>
        <v>58034.65</v>
      </c>
      <c r="F7" s="4"/>
      <c r="G7" s="4"/>
      <c r="H7" s="100">
        <v>6</v>
      </c>
      <c r="I7" t="s">
        <v>133</v>
      </c>
      <c r="K7" s="99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15" customFormat="1" ht="15" thickBot="1" x14ac:dyDescent="0.35">
      <c r="A8" s="29" t="s">
        <v>121</v>
      </c>
      <c r="B8" s="64">
        <v>2</v>
      </c>
      <c r="C8" s="65">
        <v>39879</v>
      </c>
      <c r="D8" s="65">
        <v>52161.73</v>
      </c>
      <c r="E8" s="25">
        <f t="shared" si="0"/>
        <v>104323.46</v>
      </c>
      <c r="F8" s="4"/>
      <c r="G8" s="4"/>
      <c r="H8" s="98">
        <v>7</v>
      </c>
      <c r="I8" s="97" t="s">
        <v>134</v>
      </c>
      <c r="J8" s="97"/>
      <c r="K8" s="96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32" t="s">
        <v>122</v>
      </c>
      <c r="B9" s="67">
        <v>4</v>
      </c>
      <c r="C9" s="68">
        <v>25872</v>
      </c>
      <c r="D9" s="68">
        <v>33840.58</v>
      </c>
      <c r="E9" s="78">
        <f t="shared" si="0"/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15" customFormat="1" ht="15" thickBot="1" x14ac:dyDescent="0.35">
      <c r="A10" s="29" t="s">
        <v>123</v>
      </c>
      <c r="B10" s="64">
        <v>1</v>
      </c>
      <c r="C10" s="65">
        <v>26849</v>
      </c>
      <c r="D10" s="65">
        <v>35118.49</v>
      </c>
      <c r="E10" s="25">
        <f t="shared" si="0"/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95" t="s">
        <v>111</v>
      </c>
      <c r="B11" s="94">
        <f>SUM(B2:B10)</f>
        <v>13</v>
      </c>
      <c r="C11" s="94"/>
      <c r="D11" s="94"/>
      <c r="E11" s="93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15" customFormat="1" x14ac:dyDescent="0.3">
      <c r="A14" s="81" t="s">
        <v>117</v>
      </c>
      <c r="B14" s="92" t="s">
        <v>111</v>
      </c>
      <c r="C14" s="74" t="s">
        <v>112</v>
      </c>
      <c r="D14" s="92" t="s">
        <v>135</v>
      </c>
      <c r="E14" s="74" t="s">
        <v>136</v>
      </c>
      <c r="F14" s="91" t="s">
        <v>137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32" t="s">
        <v>118</v>
      </c>
      <c r="B15" s="31">
        <f t="shared" ref="B15:B23" si="1">D2</f>
        <v>91781.35</v>
      </c>
      <c r="C15" s="90">
        <v>0</v>
      </c>
      <c r="D15" s="31">
        <f t="shared" ref="D15:D23" si="2">ROUND(B15*C15,2)</f>
        <v>0</v>
      </c>
      <c r="E15" s="89">
        <f t="shared" ref="E15:E23" si="3">1-C15</f>
        <v>1</v>
      </c>
      <c r="F15" s="78">
        <f t="shared" ref="F15:F23" si="4"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15" customFormat="1" x14ac:dyDescent="0.3">
      <c r="A16" s="29" t="s">
        <v>104</v>
      </c>
      <c r="B16" s="28">
        <f t="shared" si="1"/>
        <v>53039.4</v>
      </c>
      <c r="C16" s="88">
        <v>0.65</v>
      </c>
      <c r="D16" s="28">
        <f t="shared" si="2"/>
        <v>34475.61</v>
      </c>
      <c r="E16" s="87">
        <f t="shared" si="3"/>
        <v>0.35</v>
      </c>
      <c r="F16" s="25">
        <f t="shared" si="4"/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32" t="s">
        <v>119</v>
      </c>
      <c r="B17" s="31">
        <f t="shared" si="1"/>
        <v>32876.58</v>
      </c>
      <c r="C17" s="90">
        <v>0.5</v>
      </c>
      <c r="D17" s="31">
        <f t="shared" si="2"/>
        <v>16438.29</v>
      </c>
      <c r="E17" s="89">
        <f t="shared" si="3"/>
        <v>0.5</v>
      </c>
      <c r="F17" s="78">
        <f t="shared" si="4"/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15" customFormat="1" x14ac:dyDescent="0.3">
      <c r="A18" s="29" t="s">
        <v>120</v>
      </c>
      <c r="B18" s="28">
        <f t="shared" si="1"/>
        <v>46530.79</v>
      </c>
      <c r="C18" s="88">
        <v>0.8</v>
      </c>
      <c r="D18" s="28">
        <f t="shared" si="2"/>
        <v>37224.629999999997</v>
      </c>
      <c r="E18" s="87">
        <f t="shared" si="3"/>
        <v>0.19999999999999996</v>
      </c>
      <c r="F18" s="25">
        <f t="shared" si="4"/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32" t="s">
        <v>107</v>
      </c>
      <c r="B19" s="31">
        <f t="shared" si="1"/>
        <v>54920.3</v>
      </c>
      <c r="C19" s="90">
        <v>0.85</v>
      </c>
      <c r="D19" s="31">
        <f t="shared" si="2"/>
        <v>46682.26</v>
      </c>
      <c r="E19" s="89">
        <f t="shared" si="3"/>
        <v>0.15000000000000002</v>
      </c>
      <c r="F19" s="78">
        <f t="shared" si="4"/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15" customFormat="1" x14ac:dyDescent="0.3">
      <c r="A20" s="29" t="s">
        <v>108</v>
      </c>
      <c r="B20" s="28">
        <f t="shared" si="1"/>
        <v>58034.65</v>
      </c>
      <c r="C20" s="88">
        <v>0.75</v>
      </c>
      <c r="D20" s="28">
        <f t="shared" si="2"/>
        <v>43525.99</v>
      </c>
      <c r="E20" s="87">
        <f t="shared" si="3"/>
        <v>0.25</v>
      </c>
      <c r="F20" s="25">
        <f t="shared" si="4"/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32" t="s">
        <v>121</v>
      </c>
      <c r="B21" s="31">
        <f t="shared" si="1"/>
        <v>52161.73</v>
      </c>
      <c r="C21" s="90">
        <v>0.85</v>
      </c>
      <c r="D21" s="31">
        <f t="shared" si="2"/>
        <v>44337.47</v>
      </c>
      <c r="E21" s="89">
        <f t="shared" si="3"/>
        <v>0.15000000000000002</v>
      </c>
      <c r="F21" s="78">
        <f t="shared" si="4"/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15" customFormat="1" x14ac:dyDescent="0.3">
      <c r="A22" s="29" t="s">
        <v>122</v>
      </c>
      <c r="B22" s="28">
        <f t="shared" si="1"/>
        <v>33840.58</v>
      </c>
      <c r="C22" s="88">
        <v>0.7</v>
      </c>
      <c r="D22" s="28">
        <f t="shared" si="2"/>
        <v>23688.41</v>
      </c>
      <c r="E22" s="87">
        <f t="shared" si="3"/>
        <v>0.30000000000000004</v>
      </c>
      <c r="F22" s="25">
        <f t="shared" si="4"/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24" t="s">
        <v>123</v>
      </c>
      <c r="B23" s="23">
        <f t="shared" si="1"/>
        <v>35118.49</v>
      </c>
      <c r="C23" s="86">
        <v>0</v>
      </c>
      <c r="D23" s="23">
        <f t="shared" si="2"/>
        <v>0</v>
      </c>
      <c r="E23" s="85">
        <f t="shared" si="3"/>
        <v>1</v>
      </c>
      <c r="F23" s="84">
        <f t="shared" si="4"/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15" customFormat="1" ht="15" thickBot="1" x14ac:dyDescent="0.35">
      <c r="A24" s="19" t="s">
        <v>111</v>
      </c>
      <c r="B24" s="83">
        <f>SUM(B15:B23)</f>
        <v>458303.87000000005</v>
      </c>
      <c r="C24" s="18"/>
      <c r="D24" s="83">
        <f>SUM(D15:D23)</f>
        <v>246372.66</v>
      </c>
      <c r="E24" s="18"/>
      <c r="F24" s="82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15" customFormat="1" x14ac:dyDescent="0.3">
      <c r="A26" s="81" t="s">
        <v>138</v>
      </c>
      <c r="B26" s="74" t="s">
        <v>139</v>
      </c>
      <c r="C26" s="73" t="s">
        <v>140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79" t="s">
        <v>141</v>
      </c>
      <c r="B27" s="68">
        <v>850</v>
      </c>
      <c r="C27" s="78">
        <f t="shared" ref="C27:C49" si="5"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15" customFormat="1" x14ac:dyDescent="0.3">
      <c r="A28" s="80" t="s">
        <v>142</v>
      </c>
      <c r="B28" s="65">
        <v>800</v>
      </c>
      <c r="C28" s="25">
        <f t="shared" si="5"/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79" t="s">
        <v>143</v>
      </c>
      <c r="B29" s="68">
        <v>550</v>
      </c>
      <c r="C29" s="78">
        <f t="shared" si="5"/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15" customFormat="1" x14ac:dyDescent="0.3">
      <c r="A30" s="80" t="s">
        <v>144</v>
      </c>
      <c r="B30" s="65">
        <v>400</v>
      </c>
      <c r="C30" s="25">
        <f t="shared" si="5"/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79" t="s">
        <v>145</v>
      </c>
      <c r="B31" s="68">
        <v>120</v>
      </c>
      <c r="C31" s="78">
        <f t="shared" si="5"/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15" customFormat="1" x14ac:dyDescent="0.3">
      <c r="A32" s="80" t="s">
        <v>146</v>
      </c>
      <c r="B32" s="65">
        <v>1350</v>
      </c>
      <c r="C32" s="25">
        <f t="shared" si="5"/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79" t="s">
        <v>147</v>
      </c>
      <c r="B33" s="68">
        <v>900</v>
      </c>
      <c r="C33" s="78">
        <f t="shared" si="5"/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15" customFormat="1" x14ac:dyDescent="0.3">
      <c r="A34" s="80" t="s">
        <v>148</v>
      </c>
      <c r="B34" s="65">
        <v>140</v>
      </c>
      <c r="C34" s="25">
        <f t="shared" si="5"/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79" t="s">
        <v>149</v>
      </c>
      <c r="B35" s="68">
        <v>120</v>
      </c>
      <c r="C35" s="78">
        <f t="shared" si="5"/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15" customFormat="1" x14ac:dyDescent="0.3">
      <c r="A36" s="80" t="s">
        <v>150</v>
      </c>
      <c r="B36" s="65">
        <v>120</v>
      </c>
      <c r="C36" s="25">
        <f t="shared" si="5"/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79" t="s">
        <v>151</v>
      </c>
      <c r="B37" s="68">
        <v>180</v>
      </c>
      <c r="C37" s="78">
        <f t="shared" si="5"/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15" customFormat="1" x14ac:dyDescent="0.3">
      <c r="A38" s="80" t="s">
        <v>152</v>
      </c>
      <c r="B38" s="65">
        <v>55</v>
      </c>
      <c r="C38" s="25">
        <f t="shared" si="5"/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79" t="s">
        <v>153</v>
      </c>
      <c r="B39" s="68">
        <v>400</v>
      </c>
      <c r="C39" s="78">
        <f t="shared" si="5"/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15" customFormat="1" x14ac:dyDescent="0.3">
      <c r="A40" s="80" t="s">
        <v>154</v>
      </c>
      <c r="B40" s="65">
        <v>300</v>
      </c>
      <c r="C40" s="25">
        <f t="shared" si="5"/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79" t="s">
        <v>155</v>
      </c>
      <c r="B41" s="68">
        <v>150</v>
      </c>
      <c r="C41" s="78">
        <f t="shared" si="5"/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15" customFormat="1" x14ac:dyDescent="0.3">
      <c r="A42" s="80" t="s">
        <v>156</v>
      </c>
      <c r="B42" s="65">
        <v>500</v>
      </c>
      <c r="C42" s="25">
        <f t="shared" si="5"/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79" t="s">
        <v>157</v>
      </c>
      <c r="B43" s="68">
        <v>350</v>
      </c>
      <c r="C43" s="78">
        <f t="shared" si="5"/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15" customFormat="1" x14ac:dyDescent="0.3">
      <c r="A44" s="80" t="s">
        <v>158</v>
      </c>
      <c r="B44" s="65">
        <v>300</v>
      </c>
      <c r="C44" s="25">
        <f t="shared" si="5"/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79" t="s">
        <v>159</v>
      </c>
      <c r="B45" s="68">
        <v>200</v>
      </c>
      <c r="C45" s="78">
        <f t="shared" si="5"/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15" customFormat="1" x14ac:dyDescent="0.3">
      <c r="A46" s="80" t="s">
        <v>160</v>
      </c>
      <c r="B46" s="65">
        <v>50</v>
      </c>
      <c r="C46" s="25">
        <f t="shared" si="5"/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79" t="s">
        <v>161</v>
      </c>
      <c r="B47" s="68">
        <v>150</v>
      </c>
      <c r="C47" s="78">
        <f t="shared" si="5"/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15" customFormat="1" x14ac:dyDescent="0.3">
      <c r="A48" s="80" t="s">
        <v>162</v>
      </c>
      <c r="B48" s="65">
        <v>250</v>
      </c>
      <c r="C48" s="25">
        <f t="shared" si="5"/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79" t="s">
        <v>163</v>
      </c>
      <c r="B49" s="68">
        <v>685</v>
      </c>
      <c r="C49" s="78">
        <f t="shared" si="5"/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15" customFormat="1" ht="15" thickBot="1" x14ac:dyDescent="0.35">
      <c r="A50" s="77" t="s">
        <v>4</v>
      </c>
      <c r="B50" s="76"/>
      <c r="C50" s="75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15" customFormat="1" x14ac:dyDescent="0.3">
      <c r="A52" s="74" t="s">
        <v>164</v>
      </c>
      <c r="B52" s="74" t="s">
        <v>17</v>
      </c>
      <c r="C52" s="74" t="s">
        <v>18</v>
      </c>
      <c r="D52" s="74" t="s">
        <v>165</v>
      </c>
      <c r="E52" s="74" t="s">
        <v>140</v>
      </c>
      <c r="F52" s="74" t="s">
        <v>166</v>
      </c>
      <c r="G52" s="73" t="s">
        <v>167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32" t="s">
        <v>170</v>
      </c>
      <c r="B53" s="67">
        <v>1</v>
      </c>
      <c r="C53" s="68">
        <v>8000</v>
      </c>
      <c r="D53" s="31">
        <f t="shared" ref="D53:D60" si="6">C53*B53</f>
        <v>8000</v>
      </c>
      <c r="E53" s="31">
        <f>D53</f>
        <v>8000</v>
      </c>
      <c r="F53" s="67" t="s">
        <v>168</v>
      </c>
      <c r="G53" s="66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15" customFormat="1" x14ac:dyDescent="0.3">
      <c r="A54" s="29" t="s">
        <v>171</v>
      </c>
      <c r="B54" s="64">
        <v>3</v>
      </c>
      <c r="C54" s="65">
        <v>1000</v>
      </c>
      <c r="D54" s="28">
        <f t="shared" si="6"/>
        <v>3000</v>
      </c>
      <c r="E54" s="28">
        <f>D54/G54</f>
        <v>750</v>
      </c>
      <c r="F54" s="70" t="s">
        <v>169</v>
      </c>
      <c r="G54" s="69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32" t="s">
        <v>172</v>
      </c>
      <c r="B55" s="67">
        <v>6</v>
      </c>
      <c r="C55" s="68">
        <v>1400</v>
      </c>
      <c r="D55" s="31">
        <f t="shared" si="6"/>
        <v>8400</v>
      </c>
      <c r="E55" s="31">
        <f>D55/G55</f>
        <v>2100</v>
      </c>
      <c r="F55" s="72" t="s">
        <v>169</v>
      </c>
      <c r="G55" s="71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15" customFormat="1" x14ac:dyDescent="0.3">
      <c r="A56" s="29" t="s">
        <v>173</v>
      </c>
      <c r="B56" s="64">
        <v>5</v>
      </c>
      <c r="C56" s="65">
        <v>1500</v>
      </c>
      <c r="D56" s="28">
        <f t="shared" si="6"/>
        <v>7500</v>
      </c>
      <c r="E56" s="28">
        <f>D56/G56</f>
        <v>1875</v>
      </c>
      <c r="F56" s="70" t="s">
        <v>169</v>
      </c>
      <c r="G56" s="69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32" t="s">
        <v>174</v>
      </c>
      <c r="B57" s="67">
        <v>10</v>
      </c>
      <c r="C57" s="68">
        <v>200</v>
      </c>
      <c r="D57" s="31">
        <f t="shared" si="6"/>
        <v>2000</v>
      </c>
      <c r="E57" s="31">
        <f>D57</f>
        <v>2000</v>
      </c>
      <c r="F57" s="67" t="s">
        <v>168</v>
      </c>
      <c r="G57" s="66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15" customFormat="1" x14ac:dyDescent="0.3">
      <c r="A58" s="29" t="s">
        <v>175</v>
      </c>
      <c r="B58" s="64">
        <v>1</v>
      </c>
      <c r="C58" s="65">
        <v>99</v>
      </c>
      <c r="D58" s="28">
        <f t="shared" si="6"/>
        <v>99</v>
      </c>
      <c r="E58" s="28">
        <f>D58</f>
        <v>99</v>
      </c>
      <c r="F58" s="64" t="s">
        <v>168</v>
      </c>
      <c r="G58" s="40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32" t="s">
        <v>176</v>
      </c>
      <c r="B59" s="67">
        <v>1</v>
      </c>
      <c r="C59" s="68">
        <v>25</v>
      </c>
      <c r="D59" s="31">
        <f t="shared" si="6"/>
        <v>25</v>
      </c>
      <c r="E59" s="31">
        <f>D59</f>
        <v>25</v>
      </c>
      <c r="F59" s="67" t="s">
        <v>168</v>
      </c>
      <c r="G59" s="6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15" customFormat="1" ht="15" thickBot="1" x14ac:dyDescent="0.35">
      <c r="A60" s="29" t="s">
        <v>177</v>
      </c>
      <c r="B60" s="64">
        <v>14</v>
      </c>
      <c r="C60" s="65">
        <v>120</v>
      </c>
      <c r="D60" s="28">
        <f t="shared" si="6"/>
        <v>1680</v>
      </c>
      <c r="E60" s="28">
        <f>D60</f>
        <v>1680</v>
      </c>
      <c r="F60" s="64" t="s">
        <v>168</v>
      </c>
      <c r="G60" s="40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63" t="s">
        <v>4</v>
      </c>
      <c r="B61" s="61"/>
      <c r="C61" s="61"/>
      <c r="D61" s="62">
        <f>SUM(D54:D60)</f>
        <v>22704</v>
      </c>
      <c r="E61" s="62">
        <f>SUM(E53:E60)</f>
        <v>16529</v>
      </c>
      <c r="F61" s="61"/>
      <c r="G61" s="6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59" t="s">
        <v>117</v>
      </c>
      <c r="B63" s="58" t="s">
        <v>112</v>
      </c>
      <c r="C63" s="58" t="s">
        <v>178</v>
      </c>
      <c r="D63" s="58" t="s">
        <v>179</v>
      </c>
      <c r="E63" s="57" t="s">
        <v>180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15" customFormat="1" x14ac:dyDescent="0.3">
      <c r="A64" s="29" t="s">
        <v>118</v>
      </c>
      <c r="B64" s="56">
        <f t="shared" ref="B64:B72" si="7">C15</f>
        <v>0</v>
      </c>
      <c r="C64" s="54"/>
      <c r="D64" s="54"/>
      <c r="E64" s="53">
        <f t="shared" ref="E64:E72" si="8"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32" t="s">
        <v>104</v>
      </c>
      <c r="B65" s="52">
        <f t="shared" si="7"/>
        <v>0.65</v>
      </c>
      <c r="C65" s="51">
        <v>2008</v>
      </c>
      <c r="D65" s="3">
        <f t="shared" ref="D65:D71" si="9">C65*B65</f>
        <v>1305.2</v>
      </c>
      <c r="E65" s="50">
        <f t="shared" si="8"/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15" customFormat="1" x14ac:dyDescent="0.3">
      <c r="A66" s="29" t="s">
        <v>119</v>
      </c>
      <c r="B66" s="56">
        <f t="shared" si="7"/>
        <v>0.5</v>
      </c>
      <c r="C66" s="55">
        <v>2008</v>
      </c>
      <c r="D66" s="54">
        <f t="shared" si="9"/>
        <v>1004</v>
      </c>
      <c r="E66" s="53">
        <f t="shared" si="8"/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32" t="s">
        <v>120</v>
      </c>
      <c r="B67" s="52">
        <f t="shared" si="7"/>
        <v>0.8</v>
      </c>
      <c r="C67" s="51">
        <v>2008</v>
      </c>
      <c r="D67" s="3">
        <f t="shared" si="9"/>
        <v>1606.4</v>
      </c>
      <c r="E67" s="50">
        <f t="shared" si="8"/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15" customFormat="1" x14ac:dyDescent="0.3">
      <c r="A68" s="29" t="s">
        <v>107</v>
      </c>
      <c r="B68" s="56">
        <f t="shared" si="7"/>
        <v>0.85</v>
      </c>
      <c r="C68" s="55">
        <v>2008</v>
      </c>
      <c r="D68" s="54">
        <f t="shared" si="9"/>
        <v>1706.8</v>
      </c>
      <c r="E68" s="53">
        <f t="shared" si="8"/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32" t="s">
        <v>108</v>
      </c>
      <c r="B69" s="52">
        <f t="shared" si="7"/>
        <v>0.75</v>
      </c>
      <c r="C69" s="51">
        <v>2008</v>
      </c>
      <c r="D69" s="3">
        <f t="shared" si="9"/>
        <v>1506</v>
      </c>
      <c r="E69" s="50">
        <f t="shared" si="8"/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15" customFormat="1" x14ac:dyDescent="0.3">
      <c r="A70" s="29" t="s">
        <v>121</v>
      </c>
      <c r="B70" s="56">
        <f t="shared" si="7"/>
        <v>0.85</v>
      </c>
      <c r="C70" s="55">
        <v>2008</v>
      </c>
      <c r="D70" s="54">
        <f t="shared" si="9"/>
        <v>1706.8</v>
      </c>
      <c r="E70" s="53">
        <f t="shared" si="8"/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32" t="s">
        <v>122</v>
      </c>
      <c r="B71" s="52">
        <f t="shared" si="7"/>
        <v>0.7</v>
      </c>
      <c r="C71" s="51">
        <v>2008</v>
      </c>
      <c r="D71" s="3">
        <f t="shared" si="9"/>
        <v>1405.6</v>
      </c>
      <c r="E71" s="50">
        <f t="shared" si="8"/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15" customFormat="1" ht="15" thickBot="1" x14ac:dyDescent="0.35">
      <c r="A72" s="38" t="s">
        <v>123</v>
      </c>
      <c r="B72" s="49">
        <f t="shared" si="7"/>
        <v>0</v>
      </c>
      <c r="C72" s="48"/>
      <c r="D72" s="48"/>
      <c r="E72" s="47">
        <f t="shared" si="8"/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46" t="s">
        <v>111</v>
      </c>
      <c r="B73" s="45"/>
      <c r="C73" s="45"/>
      <c r="D73" s="44"/>
      <c r="E73" s="43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42" t="s">
        <v>181</v>
      </c>
      <c r="B75" s="41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15" customFormat="1" x14ac:dyDescent="0.3">
      <c r="A76" s="29" t="s">
        <v>182</v>
      </c>
      <c r="B76" s="40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32" t="s">
        <v>183</v>
      </c>
      <c r="B77" s="39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15" customFormat="1" ht="15" thickBot="1" x14ac:dyDescent="0.35">
      <c r="A78" s="38" t="s">
        <v>184</v>
      </c>
      <c r="B78" s="37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15" customFormat="1" ht="43.2" x14ac:dyDescent="0.3">
      <c r="A80" s="36" t="s">
        <v>117</v>
      </c>
      <c r="B80" s="34" t="s">
        <v>185</v>
      </c>
      <c r="C80" s="35" t="s">
        <v>186</v>
      </c>
      <c r="D80" s="35" t="s">
        <v>187</v>
      </c>
      <c r="E80" s="34" t="s">
        <v>188</v>
      </c>
      <c r="F80" s="33" t="s">
        <v>189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32" t="s">
        <v>118</v>
      </c>
      <c r="B81" s="31">
        <f t="shared" ref="B81:B89" si="10">IFERROR($D15/$D64,0)</f>
        <v>0</v>
      </c>
      <c r="C81" s="31">
        <f t="shared" ref="C81:C89" si="11">IFERROR(($D15+$B$78)/$D64,0)</f>
        <v>0</v>
      </c>
      <c r="D81" s="4">
        <f t="shared" ref="D81:D89" si="12">E64</f>
        <v>0</v>
      </c>
      <c r="E81" s="30">
        <f t="shared" ref="E81:E89" si="13">D81*C81</f>
        <v>0</v>
      </c>
      <c r="F81" s="20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15" customFormat="1" x14ac:dyDescent="0.3">
      <c r="A82" s="29" t="s">
        <v>104</v>
      </c>
      <c r="B82" s="28">
        <f t="shared" si="10"/>
        <v>26.414043824701196</v>
      </c>
      <c r="C82" s="28">
        <f t="shared" si="11"/>
        <v>55.624145724793138</v>
      </c>
      <c r="D82" s="27">
        <f t="shared" si="12"/>
        <v>1305.2</v>
      </c>
      <c r="E82" s="26">
        <f t="shared" si="13"/>
        <v>72600.635000000009</v>
      </c>
      <c r="F82" s="25">
        <f t="shared" ref="F82:F89" si="14"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32" t="s">
        <v>119</v>
      </c>
      <c r="B83" s="31">
        <f t="shared" si="10"/>
        <v>16.372798804780878</v>
      </c>
      <c r="C83" s="31">
        <f t="shared" si="11"/>
        <v>54.345931274900408</v>
      </c>
      <c r="D83" s="4">
        <f t="shared" si="12"/>
        <v>1004</v>
      </c>
      <c r="E83" s="30">
        <f t="shared" si="13"/>
        <v>54563.31500000001</v>
      </c>
      <c r="F83" s="20">
        <f t="shared" si="14"/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15" customFormat="1" x14ac:dyDescent="0.3">
      <c r="A84" s="29" t="s">
        <v>120</v>
      </c>
      <c r="B84" s="28">
        <f t="shared" si="10"/>
        <v>23.17270293824701</v>
      </c>
      <c r="C84" s="28">
        <f t="shared" si="11"/>
        <v>46.90591073207171</v>
      </c>
      <c r="D84" s="27">
        <f t="shared" si="12"/>
        <v>1606.4</v>
      </c>
      <c r="E84" s="26">
        <f t="shared" si="13"/>
        <v>75349.654999999999</v>
      </c>
      <c r="F84" s="25">
        <f t="shared" si="14"/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32" t="s">
        <v>107</v>
      </c>
      <c r="B85" s="31">
        <f t="shared" si="10"/>
        <v>27.350749941410829</v>
      </c>
      <c r="C85" s="31">
        <f t="shared" si="11"/>
        <v>49.687886688539962</v>
      </c>
      <c r="D85" s="4">
        <f t="shared" si="12"/>
        <v>1706.8</v>
      </c>
      <c r="E85" s="30">
        <f t="shared" si="13"/>
        <v>84807.285000000003</v>
      </c>
      <c r="F85" s="20">
        <f t="shared" si="14"/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15" customFormat="1" x14ac:dyDescent="0.3">
      <c r="A86" s="29" t="s">
        <v>108</v>
      </c>
      <c r="B86" s="28">
        <f t="shared" si="10"/>
        <v>28.901719787516598</v>
      </c>
      <c r="C86" s="28">
        <f t="shared" si="11"/>
        <v>54.217141434262956</v>
      </c>
      <c r="D86" s="27">
        <f t="shared" si="12"/>
        <v>1506</v>
      </c>
      <c r="E86" s="26">
        <f t="shared" si="13"/>
        <v>81651.015000000014</v>
      </c>
      <c r="F86" s="25">
        <f t="shared" si="14"/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32" t="s">
        <v>121</v>
      </c>
      <c r="B87" s="31">
        <f t="shared" si="10"/>
        <v>25.976956878368878</v>
      </c>
      <c r="C87" s="31">
        <f t="shared" si="11"/>
        <v>48.314093625498018</v>
      </c>
      <c r="D87" s="4">
        <f t="shared" si="12"/>
        <v>3413.6</v>
      </c>
      <c r="E87" s="30">
        <f t="shared" si="13"/>
        <v>164924.99000000002</v>
      </c>
      <c r="F87" s="20">
        <f t="shared" si="14"/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15" customFormat="1" x14ac:dyDescent="0.3">
      <c r="A88" s="29" t="s">
        <v>122</v>
      </c>
      <c r="B88" s="28">
        <f t="shared" si="10"/>
        <v>16.852881331815595</v>
      </c>
      <c r="C88" s="28">
        <f t="shared" si="11"/>
        <v>43.976547381900978</v>
      </c>
      <c r="D88" s="27">
        <f t="shared" si="12"/>
        <v>5622.4</v>
      </c>
      <c r="E88" s="26">
        <f t="shared" si="13"/>
        <v>247253.74000000005</v>
      </c>
      <c r="F88" s="25">
        <f t="shared" si="14"/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24" t="s">
        <v>123</v>
      </c>
      <c r="B89" s="23">
        <f t="shared" si="10"/>
        <v>0</v>
      </c>
      <c r="C89" s="23">
        <f t="shared" si="11"/>
        <v>0</v>
      </c>
      <c r="D89" s="22">
        <f t="shared" si="12"/>
        <v>0</v>
      </c>
      <c r="E89" s="21">
        <f t="shared" si="13"/>
        <v>0</v>
      </c>
      <c r="F89" s="20">
        <f t="shared" si="14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15" customFormat="1" ht="15" thickBot="1" x14ac:dyDescent="0.35">
      <c r="A90" s="19" t="s">
        <v>111</v>
      </c>
      <c r="B90" s="18"/>
      <c r="C90" s="18"/>
      <c r="D90" s="18">
        <f>SUM(D81:D89)</f>
        <v>16164.4</v>
      </c>
      <c r="E90" s="17">
        <f>SUM(E81:E89)</f>
        <v>781150.63500000001</v>
      </c>
      <c r="F90" s="16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2"/>
  <sheetViews>
    <sheetView topLeftCell="A45" workbookViewId="0">
      <selection activeCell="O44" sqref="O44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6" ht="15" thickBot="1" x14ac:dyDescent="0.35">
      <c r="A1" s="116" t="s">
        <v>191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  <c r="L1" s="140" t="s">
        <v>213</v>
      </c>
      <c r="N1" s="119" t="s">
        <v>203</v>
      </c>
      <c r="O1" s="120"/>
      <c r="P1" s="132"/>
    </row>
    <row r="2" spans="1:16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37"/>
      <c r="N2" s="130" t="s">
        <v>205</v>
      </c>
      <c r="O2" s="129" t="s">
        <v>204</v>
      </c>
      <c r="P2" s="131" t="s">
        <v>4</v>
      </c>
    </row>
    <row r="3" spans="1:16" x14ac:dyDescent="0.3">
      <c r="A3" s="5" t="s">
        <v>6</v>
      </c>
      <c r="B3" s="6"/>
      <c r="C3" s="6"/>
      <c r="D3" s="7" t="s">
        <v>20</v>
      </c>
      <c r="H3" s="111" t="str">
        <f>_xlfn.XLOOKUP(E3,$Q$20:$Q$25,$R$20:$R$25,"")</f>
        <v/>
      </c>
      <c r="I3" s="111" t="str">
        <f>IFERROR(H3*F3,"")</f>
        <v/>
      </c>
      <c r="K3" s="115">
        <f>SUM(J4:J19)</f>
        <v>1493.463760343242</v>
      </c>
      <c r="L3" s="139" t="str">
        <f>IFERROR(I3+($P$10*F3),"")</f>
        <v/>
      </c>
      <c r="N3" s="5" t="s">
        <v>6</v>
      </c>
      <c r="O3" s="125" t="s">
        <v>206</v>
      </c>
      <c r="P3" s="133">
        <f>K74</f>
        <v>13026.517352669423</v>
      </c>
    </row>
    <row r="4" spans="1:16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>_xlfn.XLOOKUP(E4,$Q$20:$Q$25,$R$20:$R$25,"")</f>
        <v>49.782125344774748</v>
      </c>
      <c r="I4" s="111">
        <f t="shared" ref="I4:I67" si="0">IFERROR(H4*F4,"")</f>
        <v>99.564250689549496</v>
      </c>
      <c r="J4" s="111">
        <f>I4</f>
        <v>99.564250689549496</v>
      </c>
      <c r="K4" s="112"/>
      <c r="L4" s="139">
        <f t="shared" ref="L4:L67" si="1">IFERROR(I4+($P$10*F4),"")</f>
        <v>122.72425068954949</v>
      </c>
      <c r="N4" s="5" t="s">
        <v>8</v>
      </c>
      <c r="O4" s="125" t="s">
        <v>207</v>
      </c>
      <c r="P4" s="133">
        <f>K81</f>
        <v>172.5</v>
      </c>
    </row>
    <row r="5" spans="1:16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>_xlfn.XLOOKUP(E5,$Q$20:$Q$25,$R$20:$R$25,"")</f>
        <v>49.782125344774748</v>
      </c>
      <c r="I5" s="111">
        <f t="shared" si="0"/>
        <v>99.564250689549496</v>
      </c>
      <c r="J5" s="111">
        <f>I5</f>
        <v>99.564250689549496</v>
      </c>
      <c r="K5" s="112"/>
      <c r="L5" s="139">
        <f t="shared" si="1"/>
        <v>122.72425068954949</v>
      </c>
      <c r="N5" s="5" t="s">
        <v>9</v>
      </c>
      <c r="O5" s="125" t="s">
        <v>208</v>
      </c>
      <c r="P5" s="112">
        <f>0.25*(P3+P4)</f>
        <v>3299.7543381673559</v>
      </c>
    </row>
    <row r="6" spans="1:16" x14ac:dyDescent="0.3">
      <c r="A6" s="5"/>
      <c r="B6" s="6" t="s">
        <v>14</v>
      </c>
      <c r="C6" s="6"/>
      <c r="D6" s="1" t="s">
        <v>23</v>
      </c>
      <c r="H6" s="111" t="str">
        <f>_xlfn.XLOOKUP(E6,$Q$20:$Q$25,$R$20:$R$25,"")</f>
        <v/>
      </c>
      <c r="I6" s="111" t="str">
        <f t="shared" si="0"/>
        <v/>
      </c>
      <c r="J6" s="111">
        <f>SUM(I7:I19)</f>
        <v>1294.3352589641431</v>
      </c>
      <c r="K6" s="112"/>
      <c r="L6" s="139"/>
      <c r="N6" s="119" t="s">
        <v>115</v>
      </c>
      <c r="O6" s="120"/>
      <c r="P6" s="134">
        <f>SUM(P3:P5)</f>
        <v>16498.77169083678</v>
      </c>
    </row>
    <row r="7" spans="1:16" x14ac:dyDescent="0.3">
      <c r="A7" s="5"/>
      <c r="B7" s="6"/>
      <c r="C7" s="6" t="s">
        <v>6</v>
      </c>
      <c r="D7" s="1" t="s">
        <v>24</v>
      </c>
      <c r="E7" t="s">
        <v>104</v>
      </c>
      <c r="F7">
        <v>2</v>
      </c>
      <c r="G7" t="s">
        <v>103</v>
      </c>
      <c r="H7" s="111">
        <f>_xlfn.XLOOKUP(E7,$Q$20:$Q$25,$R$20:$R$25,"")</f>
        <v>49.782125344774748</v>
      </c>
      <c r="I7" s="111">
        <f t="shared" si="0"/>
        <v>99.564250689549496</v>
      </c>
      <c r="J7" s="111"/>
      <c r="K7" s="112"/>
      <c r="L7" s="139">
        <f t="shared" si="1"/>
        <v>122.72425068954949</v>
      </c>
    </row>
    <row r="8" spans="1:16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>_xlfn.XLOOKUP(E8,$Q$20:$Q$25,$R$20:$R$25,"")</f>
        <v>49.782125344774748</v>
      </c>
      <c r="I8" s="111">
        <f t="shared" si="0"/>
        <v>99.564250689549496</v>
      </c>
      <c r="J8" s="111"/>
      <c r="K8" s="112"/>
      <c r="L8" s="139">
        <f t="shared" si="1"/>
        <v>122.72425068954949</v>
      </c>
      <c r="O8" t="s">
        <v>211</v>
      </c>
      <c r="P8" s="111">
        <f>P6-P3</f>
        <v>3472.2543381673568</v>
      </c>
    </row>
    <row r="9" spans="1:16" x14ac:dyDescent="0.3">
      <c r="A9" s="5"/>
      <c r="B9" s="6"/>
      <c r="C9" s="6" t="s">
        <v>9</v>
      </c>
      <c r="D9" s="1" t="s">
        <v>26</v>
      </c>
      <c r="E9" t="s">
        <v>104</v>
      </c>
      <c r="F9">
        <v>2</v>
      </c>
      <c r="G9" t="s">
        <v>103</v>
      </c>
      <c r="H9" s="111">
        <f>_xlfn.XLOOKUP(E9,$Q$20:$Q$25,$R$20:$R$25,"")</f>
        <v>49.782125344774748</v>
      </c>
      <c r="I9" s="111">
        <f t="shared" si="0"/>
        <v>99.564250689549496</v>
      </c>
      <c r="J9" s="111"/>
      <c r="K9" s="112"/>
      <c r="L9" s="139">
        <f t="shared" si="1"/>
        <v>122.72425068954949</v>
      </c>
      <c r="O9" t="s">
        <v>214</v>
      </c>
      <c r="P9" s="136">
        <f>SUM(F4:F73)</f>
        <v>300</v>
      </c>
    </row>
    <row r="10" spans="1:16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>_xlfn.XLOOKUP(E10,$Q$20:$Q$25,$R$20:$R$25,"")</f>
        <v>49.782125344774748</v>
      </c>
      <c r="I10" s="111">
        <f t="shared" si="0"/>
        <v>99.564250689549496</v>
      </c>
      <c r="J10" s="111"/>
      <c r="K10" s="112"/>
      <c r="L10" s="139">
        <f t="shared" si="1"/>
        <v>122.72425068954949</v>
      </c>
      <c r="O10" t="s">
        <v>215</v>
      </c>
      <c r="P10" s="136">
        <f>ROUNDUP(P8/P9,2)</f>
        <v>11.58</v>
      </c>
    </row>
    <row r="11" spans="1:16" x14ac:dyDescent="0.3">
      <c r="A11" s="5"/>
      <c r="B11" s="6"/>
      <c r="C11" s="6" t="s">
        <v>11</v>
      </c>
      <c r="D11" s="1" t="s">
        <v>28</v>
      </c>
      <c r="E11" t="s">
        <v>104</v>
      </c>
      <c r="F11">
        <v>2</v>
      </c>
      <c r="G11" t="s">
        <v>103</v>
      </c>
      <c r="H11" s="111">
        <f>_xlfn.XLOOKUP(E11,$Q$20:$Q$25,$R$20:$R$25,"")</f>
        <v>49.782125344774748</v>
      </c>
      <c r="I11" s="111">
        <f t="shared" si="0"/>
        <v>99.564250689549496</v>
      </c>
      <c r="J11" s="111"/>
      <c r="K11" s="112"/>
      <c r="L11" s="139">
        <f t="shared" si="1"/>
        <v>122.72425068954949</v>
      </c>
    </row>
    <row r="12" spans="1:16" x14ac:dyDescent="0.3">
      <c r="A12" s="5"/>
      <c r="B12" s="6"/>
      <c r="C12" s="6" t="s">
        <v>12</v>
      </c>
      <c r="D12" s="1" t="s">
        <v>29</v>
      </c>
      <c r="E12" t="s">
        <v>104</v>
      </c>
      <c r="F12">
        <v>2</v>
      </c>
      <c r="G12" t="s">
        <v>103</v>
      </c>
      <c r="H12" s="111">
        <f>_xlfn.XLOOKUP(E12,$Q$20:$Q$25,$R$20:$R$25,"")</f>
        <v>49.782125344774748</v>
      </c>
      <c r="I12" s="111">
        <f t="shared" si="0"/>
        <v>99.564250689549496</v>
      </c>
      <c r="J12" s="111"/>
      <c r="K12" s="112"/>
      <c r="L12" s="139">
        <f t="shared" si="1"/>
        <v>122.72425068954949</v>
      </c>
    </row>
    <row r="13" spans="1:16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>_xlfn.XLOOKUP(E13,$Q$20:$Q$25,$R$20:$R$25,"")</f>
        <v>49.782125344774748</v>
      </c>
      <c r="I13" s="111">
        <f t="shared" si="0"/>
        <v>99.564250689549496</v>
      </c>
      <c r="J13" s="111"/>
      <c r="K13" s="112"/>
      <c r="L13" s="139">
        <f t="shared" si="1"/>
        <v>122.72425068954949</v>
      </c>
    </row>
    <row r="14" spans="1:16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>_xlfn.XLOOKUP(E14,$Q$20:$Q$25,$R$20:$R$25,"")</f>
        <v>49.782125344774748</v>
      </c>
      <c r="I14" s="111">
        <f t="shared" si="0"/>
        <v>99.564250689549496</v>
      </c>
      <c r="J14" s="111"/>
      <c r="K14" s="112"/>
      <c r="L14" s="139">
        <f t="shared" si="1"/>
        <v>122.72425068954949</v>
      </c>
    </row>
    <row r="15" spans="1:16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>_xlfn.XLOOKUP(E15,$Q$20:$Q$25,$R$20:$R$25,"")</f>
        <v>49.782125344774748</v>
      </c>
      <c r="I15" s="111">
        <f t="shared" si="0"/>
        <v>99.564250689549496</v>
      </c>
      <c r="J15" s="111"/>
      <c r="K15" s="112"/>
      <c r="L15" s="139">
        <f t="shared" si="1"/>
        <v>122.72425068954949</v>
      </c>
    </row>
    <row r="16" spans="1:16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>_xlfn.XLOOKUP(E16,$Q$20:$Q$25,$R$20:$R$25,"")</f>
        <v>49.782125344774748</v>
      </c>
      <c r="I16" s="111">
        <f t="shared" si="0"/>
        <v>99.564250689549496</v>
      </c>
      <c r="J16" s="111"/>
      <c r="K16" s="112"/>
      <c r="L16" s="139">
        <f t="shared" si="1"/>
        <v>122.72425068954949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2</v>
      </c>
      <c r="G17" t="s">
        <v>103</v>
      </c>
      <c r="H17" s="111">
        <f>_xlfn.XLOOKUP(E17,$Q$20:$Q$25,$R$20:$R$25,"")</f>
        <v>49.782125344774748</v>
      </c>
      <c r="I17" s="111">
        <f t="shared" si="0"/>
        <v>99.564250689549496</v>
      </c>
      <c r="J17" s="111"/>
      <c r="K17" s="112"/>
      <c r="L17" s="139">
        <f t="shared" si="1"/>
        <v>122.72425068954949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2</v>
      </c>
      <c r="G18" t="s">
        <v>103</v>
      </c>
      <c r="H18" s="111">
        <f>_xlfn.XLOOKUP(E18,$Q$20:$Q$25,$R$20:$R$25,"")</f>
        <v>49.782125344774748</v>
      </c>
      <c r="I18" s="111">
        <f t="shared" si="0"/>
        <v>99.564250689549496</v>
      </c>
      <c r="J18" s="111"/>
      <c r="K18" s="112"/>
      <c r="L18" s="139">
        <f t="shared" si="1"/>
        <v>122.72425068954949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>_xlfn.XLOOKUP(E19,$Q$20:$Q$25,$R$20:$R$25,"")</f>
        <v>49.782125344774748</v>
      </c>
      <c r="I19" s="111">
        <f t="shared" si="0"/>
        <v>99.564250689549496</v>
      </c>
      <c r="J19" s="111"/>
      <c r="K19" s="112"/>
      <c r="L19" s="139">
        <f t="shared" si="1"/>
        <v>122.72425068954949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>_xlfn.XLOOKUP(E20,$Q$20:$Q$25,$R$20:$R$25,"")</f>
        <v/>
      </c>
      <c r="I20" s="111" t="str">
        <f t="shared" si="0"/>
        <v/>
      </c>
      <c r="J20" s="111"/>
      <c r="K20" s="112">
        <f>SUM(J21:J30)</f>
        <v>2307.2124370166389</v>
      </c>
      <c r="L20" s="139" t="str">
        <f t="shared" si="1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>_xlfn.XLOOKUP(E21,$Q$20:$Q$25,$R$20:$R$25,"")</f>
        <v>42.159269173306768</v>
      </c>
      <c r="I21" s="111">
        <f t="shared" si="0"/>
        <v>42.159269173306768</v>
      </c>
      <c r="J21" s="111">
        <f t="shared" ref="J21:J30" si="2">I21</f>
        <v>42.159269173306768</v>
      </c>
      <c r="K21" s="112"/>
      <c r="L21" s="139">
        <f t="shared" si="1"/>
        <v>53.739269173306766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>_xlfn.XLOOKUP(E22,$Q$20:$Q$25,$R$20:$R$25,"")</f>
        <v>45.220459339114129</v>
      </c>
      <c r="I22" s="111">
        <f t="shared" si="0"/>
        <v>180.88183735645651</v>
      </c>
      <c r="J22" s="111">
        <f t="shared" si="2"/>
        <v>180.88183735645651</v>
      </c>
      <c r="K22" s="112"/>
      <c r="L22" s="139">
        <f t="shared" si="1"/>
        <v>227.20183735645651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2</v>
      </c>
      <c r="G23" t="s">
        <v>103</v>
      </c>
      <c r="H23" s="111">
        <f>_xlfn.XLOOKUP(E23,$Q$20:$Q$25,$R$20:$R$25,"")</f>
        <v>42.159269173306768</v>
      </c>
      <c r="I23" s="111">
        <f t="shared" si="0"/>
        <v>84.318538346613536</v>
      </c>
      <c r="J23" s="111">
        <f t="shared" si="2"/>
        <v>84.318538346613536</v>
      </c>
      <c r="K23" s="112"/>
      <c r="L23" s="139">
        <f t="shared" si="1"/>
        <v>107.47853834661353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>_xlfn.XLOOKUP(E24,$Q$20:$Q$25,$R$20:$R$25,"")</f>
        <v>42.159269173306768</v>
      </c>
      <c r="I24" s="111">
        <f t="shared" si="0"/>
        <v>42.159269173306768</v>
      </c>
      <c r="J24" s="111">
        <f t="shared" si="2"/>
        <v>42.159269173306768</v>
      </c>
      <c r="K24" s="112"/>
      <c r="L24" s="139">
        <f t="shared" si="1"/>
        <v>53.739269173306766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>_xlfn.XLOOKUP(E25,$Q$20:$Q$25,$R$20:$R$25,"")</f>
        <v>42.159269173306768</v>
      </c>
      <c r="I25" s="111">
        <f t="shared" si="0"/>
        <v>84.318538346613536</v>
      </c>
      <c r="J25" s="111">
        <f t="shared" si="2"/>
        <v>84.318538346613536</v>
      </c>
      <c r="K25" s="112"/>
      <c r="L25" s="139">
        <f t="shared" si="1"/>
        <v>107.47853834661353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>_xlfn.XLOOKUP(E26,$Q$20:$Q$25,$R$20:$R$25,"")</f>
        <v>45.220459339114129</v>
      </c>
      <c r="I26" s="111">
        <f t="shared" si="0"/>
        <v>271.32275603468474</v>
      </c>
      <c r="J26" s="111">
        <f t="shared" si="2"/>
        <v>271.32275603468474</v>
      </c>
      <c r="K26" s="112"/>
      <c r="L26" s="139">
        <f t="shared" si="1"/>
        <v>340.80275603468476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>_xlfn.XLOOKUP(E27,$Q$20:$Q$25,$R$20:$R$25,"")</f>
        <v>42.159269173306768</v>
      </c>
      <c r="I27" s="111">
        <f t="shared" si="0"/>
        <v>927.5039218127489</v>
      </c>
      <c r="J27" s="111">
        <f t="shared" si="2"/>
        <v>927.5039218127489</v>
      </c>
      <c r="K27" s="112"/>
      <c r="L27" s="139">
        <f t="shared" si="1"/>
        <v>1182.2639218127488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6</v>
      </c>
      <c r="G28" t="s">
        <v>103</v>
      </c>
      <c r="H28" s="111">
        <f>_xlfn.XLOOKUP(E28,$Q$20:$Q$25,$R$20:$R$25,"")</f>
        <v>42.159269173306768</v>
      </c>
      <c r="I28" s="111">
        <f t="shared" si="0"/>
        <v>252.95561503984061</v>
      </c>
      <c r="J28" s="111">
        <f t="shared" si="2"/>
        <v>252.95561503984061</v>
      </c>
      <c r="K28" s="112"/>
      <c r="L28" s="139">
        <f t="shared" si="1"/>
        <v>322.43561503984063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2</v>
      </c>
      <c r="G29" t="s">
        <v>103</v>
      </c>
      <c r="H29" s="111">
        <f>_xlfn.XLOOKUP(E29,$Q$20:$Q$25,$R$20:$R$25,"")</f>
        <v>42.159269173306768</v>
      </c>
      <c r="I29" s="111">
        <f t="shared" si="0"/>
        <v>84.318538346613536</v>
      </c>
      <c r="J29" s="111">
        <f t="shared" si="2"/>
        <v>84.318538346613536</v>
      </c>
      <c r="K29" s="112"/>
      <c r="L29" s="139">
        <f t="shared" si="1"/>
        <v>107.47853834661353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>_xlfn.XLOOKUP(E30,$Q$20:$Q$25,$R$20:$R$25,"")</f>
        <v>42.159269173306768</v>
      </c>
      <c r="I30" s="111">
        <f t="shared" si="0"/>
        <v>337.27415338645415</v>
      </c>
      <c r="J30" s="111">
        <f t="shared" si="2"/>
        <v>337.27415338645415</v>
      </c>
      <c r="K30" s="112"/>
      <c r="L30" s="139">
        <f t="shared" si="1"/>
        <v>429.91415338645413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>_xlfn.XLOOKUP(E31,$Q$20:$Q$25,$R$20:$R$25,"")</f>
        <v/>
      </c>
      <c r="I31" s="111" t="str">
        <f t="shared" si="0"/>
        <v/>
      </c>
      <c r="J31" s="111"/>
      <c r="K31" s="112">
        <f>SUM(J32:J38)</f>
        <v>2273.3693320555312</v>
      </c>
      <c r="L31" s="139" t="str">
        <f t="shared" si="1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>_xlfn.XLOOKUP(E32,$Q$20:$Q$25,$R$20:$R$25,"")</f>
        <v>49.154057104913683</v>
      </c>
      <c r="I32" s="111">
        <f t="shared" si="0"/>
        <v>491.54057104913682</v>
      </c>
      <c r="J32" s="111">
        <f t="shared" ref="J32:J38" si="3">I32</f>
        <v>491.54057104913682</v>
      </c>
      <c r="K32" s="112"/>
      <c r="L32" s="139">
        <f t="shared" si="1"/>
        <v>607.34057104913677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>_xlfn.XLOOKUP(E33,$Q$20:$Q$25,$R$20:$R$25,"")</f>
        <v>38.551814171883898</v>
      </c>
      <c r="I33" s="111">
        <f t="shared" si="0"/>
        <v>115.65544251565169</v>
      </c>
      <c r="J33" s="111">
        <f t="shared" si="3"/>
        <v>115.65544251565169</v>
      </c>
      <c r="K33" s="112"/>
      <c r="L33" s="139">
        <f t="shared" si="1"/>
        <v>150.39544251565169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>_xlfn.XLOOKUP(E34,$Q$20:$Q$25,$R$20:$R$25,"")</f>
        <v>43.846666276072185</v>
      </c>
      <c r="I34" s="111">
        <f t="shared" si="0"/>
        <v>350.77333020857748</v>
      </c>
      <c r="J34" s="111">
        <f t="shared" si="3"/>
        <v>350.77333020857748</v>
      </c>
      <c r="K34" s="112"/>
      <c r="L34" s="139">
        <f t="shared" si="1"/>
        <v>443.41333020857746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>_xlfn.XLOOKUP(E35,$Q$20:$Q$25,$R$20:$R$25,"")</f>
        <v>43.846666276072185</v>
      </c>
      <c r="I35" s="111">
        <f t="shared" si="0"/>
        <v>175.38666510428874</v>
      </c>
      <c r="J35" s="111">
        <f t="shared" si="3"/>
        <v>175.38666510428874</v>
      </c>
      <c r="K35" s="112"/>
      <c r="L35" s="139">
        <f t="shared" si="1"/>
        <v>221.70666510428873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>_xlfn.XLOOKUP(E36,$Q$20:$Q$25,$R$20:$R$25,"")</f>
        <v>43.846666276072185</v>
      </c>
      <c r="I36" s="111">
        <f t="shared" si="0"/>
        <v>263.07999765643308</v>
      </c>
      <c r="J36" s="111">
        <f t="shared" si="3"/>
        <v>263.07999765643308</v>
      </c>
      <c r="K36" s="112"/>
      <c r="L36" s="139">
        <f t="shared" si="1"/>
        <v>332.5599976564331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10</v>
      </c>
      <c r="G37" t="s">
        <v>103</v>
      </c>
      <c r="H37" s="111">
        <f>_xlfn.XLOOKUP(E37,$Q$20:$Q$25,$R$20:$R$25,"")</f>
        <v>43.846666276072185</v>
      </c>
      <c r="I37" s="111">
        <f t="shared" si="0"/>
        <v>438.46666276072187</v>
      </c>
      <c r="J37" s="111">
        <f t="shared" si="3"/>
        <v>438.46666276072187</v>
      </c>
      <c r="K37" s="112"/>
      <c r="L37" s="139">
        <f t="shared" si="1"/>
        <v>554.26666276072183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>_xlfn.XLOOKUP(E38,$Q$20:$Q$25,$R$20:$R$25,"")</f>
        <v>43.846666276072185</v>
      </c>
      <c r="I38" s="111">
        <f t="shared" si="0"/>
        <v>438.46666276072187</v>
      </c>
      <c r="J38" s="111">
        <f t="shared" si="3"/>
        <v>438.46666276072187</v>
      </c>
      <c r="K38" s="112"/>
      <c r="L38" s="139">
        <f t="shared" si="1"/>
        <v>554.26666276072183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3</v>
      </c>
      <c r="G39" t="s">
        <v>103</v>
      </c>
      <c r="H39" s="111">
        <f>_xlfn.XLOOKUP(E39,$Q$20:$Q$25,$R$20:$R$25,"")</f>
        <v>43.846666276072185</v>
      </c>
      <c r="I39" s="111">
        <f t="shared" si="0"/>
        <v>131.53999882821654</v>
      </c>
      <c r="J39" s="111">
        <f>SUM(I39)</f>
        <v>131.53999882821654</v>
      </c>
      <c r="K39" s="111">
        <f>SUM(J39)</f>
        <v>131.53999882821654</v>
      </c>
      <c r="L39" s="139">
        <f t="shared" si="1"/>
        <v>166.27999882821655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>_xlfn.XLOOKUP(E40,$Q$20:$Q$25,$R$20:$R$25,"")</f>
        <v/>
      </c>
      <c r="I40" s="111" t="str">
        <f t="shared" si="0"/>
        <v/>
      </c>
      <c r="J40" s="111"/>
      <c r="K40" s="112">
        <f>SUM(J41:J50)</f>
        <v>4386.8987937884322</v>
      </c>
      <c r="L40" s="139" t="str">
        <f t="shared" si="1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4</v>
      </c>
      <c r="G41" t="s">
        <v>103</v>
      </c>
      <c r="H41" s="111">
        <f>_xlfn.XLOOKUP(E41,$Q$20:$Q$25,$R$20:$R$25,"")</f>
        <v>49.154057104913683</v>
      </c>
      <c r="I41" s="111">
        <f t="shared" si="0"/>
        <v>196.61622841965473</v>
      </c>
      <c r="J41" s="111">
        <f>I41</f>
        <v>196.61622841965473</v>
      </c>
      <c r="K41" s="112"/>
      <c r="L41" s="139">
        <f t="shared" si="1"/>
        <v>242.93622841965473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3</v>
      </c>
      <c r="G42" t="s">
        <v>103</v>
      </c>
      <c r="H42" s="111">
        <f>_xlfn.XLOOKUP(E42,$Q$20:$Q$25,$R$20:$R$25,"")</f>
        <v>49.154057104913683</v>
      </c>
      <c r="I42" s="111">
        <f t="shared" si="0"/>
        <v>147.46217131474106</v>
      </c>
      <c r="J42" s="111">
        <f>I42</f>
        <v>147.46217131474106</v>
      </c>
      <c r="K42" s="112"/>
      <c r="L42" s="139">
        <f t="shared" si="1"/>
        <v>182.20217131474107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>_xlfn.XLOOKUP(E43,$Q$20:$Q$25,$R$20:$R$25,"")</f>
        <v/>
      </c>
      <c r="I43" s="111" t="str">
        <f t="shared" si="0"/>
        <v/>
      </c>
      <c r="J43" s="111">
        <f>SUM(I44:I50)</f>
        <v>4042.8203940540366</v>
      </c>
      <c r="K43" s="112"/>
      <c r="L43" s="139" t="str">
        <f t="shared" si="1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>_xlfn.XLOOKUP(E44,$Q$20:$Q$25,$R$20:$R$25,"")</f>
        <v>38.551814171883898</v>
      </c>
      <c r="I44" s="111">
        <f t="shared" si="0"/>
        <v>848.13991178144579</v>
      </c>
      <c r="J44" s="111"/>
      <c r="K44" s="112"/>
      <c r="L44" s="139">
        <f t="shared" si="1"/>
        <v>1102.8999117814458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10</v>
      </c>
      <c r="G45" t="s">
        <v>103</v>
      </c>
      <c r="H45" s="111">
        <f>_xlfn.XLOOKUP(E45,$Q$20:$Q$25,$R$20:$R$25,"")</f>
        <v>38.551814171883898</v>
      </c>
      <c r="I45" s="111">
        <f t="shared" si="0"/>
        <v>385.51814171883899</v>
      </c>
      <c r="J45" s="111"/>
      <c r="K45" s="112"/>
      <c r="L45" s="139">
        <f t="shared" si="1"/>
        <v>501.318141718839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25</v>
      </c>
      <c r="G46" t="s">
        <v>103</v>
      </c>
      <c r="H46" s="111">
        <f>_xlfn.XLOOKUP(E46,$Q$20:$Q$25,$R$20:$R$25,"")</f>
        <v>43.846666276072185</v>
      </c>
      <c r="I46" s="111">
        <f t="shared" si="0"/>
        <v>1096.1666569018046</v>
      </c>
      <c r="J46" s="111"/>
      <c r="K46" s="112"/>
      <c r="L46" s="139">
        <f t="shared" si="1"/>
        <v>1385.6666569018046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6</v>
      </c>
      <c r="G47" t="s">
        <v>103</v>
      </c>
      <c r="H47" s="111">
        <f>_xlfn.XLOOKUP(E47,$Q$20:$Q$25,$R$20:$R$25,"")</f>
        <v>38.551814171883898</v>
      </c>
      <c r="I47" s="111">
        <f t="shared" si="0"/>
        <v>231.31088503130337</v>
      </c>
      <c r="J47" s="111"/>
      <c r="K47" s="112"/>
      <c r="L47" s="139">
        <f t="shared" si="1"/>
        <v>300.79088503130339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15</v>
      </c>
      <c r="G48" t="s">
        <v>103</v>
      </c>
      <c r="H48" s="111">
        <f>_xlfn.XLOOKUP(E48,$Q$20:$Q$25,$R$20:$R$25,"")</f>
        <v>43.846666276072185</v>
      </c>
      <c r="I48" s="111">
        <f t="shared" si="0"/>
        <v>657.69999414108281</v>
      </c>
      <c r="J48" s="111"/>
      <c r="K48" s="112"/>
      <c r="L48" s="139">
        <f t="shared" si="1"/>
        <v>831.39999414108274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>_xlfn.XLOOKUP(E49,$Q$20:$Q$25,$R$20:$R$25,"")</f>
        <v>43.846666276072185</v>
      </c>
      <c r="I49" s="111">
        <f t="shared" si="0"/>
        <v>438.46666276072187</v>
      </c>
      <c r="J49" s="111"/>
      <c r="K49" s="112"/>
      <c r="L49" s="139">
        <f t="shared" si="1"/>
        <v>554.26666276072183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10</v>
      </c>
      <c r="G50" t="s">
        <v>103</v>
      </c>
      <c r="H50" s="111">
        <f>_xlfn.XLOOKUP(E50,$Q$20:$Q$25,$R$20:$R$25,"")</f>
        <v>38.551814171883898</v>
      </c>
      <c r="I50" s="111">
        <f t="shared" si="0"/>
        <v>385.51814171883899</v>
      </c>
      <c r="J50" s="111"/>
      <c r="K50" s="112"/>
      <c r="L50" s="139">
        <f t="shared" si="1"/>
        <v>501.318141718839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>_xlfn.XLOOKUP(E51,$Q$20:$Q$25,$R$20:$R$25,"")</f>
        <v/>
      </c>
      <c r="I51" s="111" t="str">
        <f t="shared" si="0"/>
        <v/>
      </c>
      <c r="J51" s="111"/>
      <c r="K51" s="112">
        <f>SUM(J52:J60)</f>
        <v>1051.4886868492417</v>
      </c>
      <c r="L51" s="139" t="str">
        <f t="shared" si="1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4</v>
      </c>
      <c r="G52" t="s">
        <v>103</v>
      </c>
      <c r="H52" s="111">
        <f>_xlfn.XLOOKUP(E52,$Q$20:$Q$25,$R$20:$R$25,"")</f>
        <v>38.551814171883898</v>
      </c>
      <c r="I52" s="111">
        <f t="shared" si="0"/>
        <v>154.20725668753559</v>
      </c>
      <c r="J52" s="111">
        <f t="shared" ref="J52:J60" si="4">I52</f>
        <v>154.20725668753559</v>
      </c>
      <c r="K52" s="112"/>
      <c r="L52" s="139">
        <f t="shared" si="1"/>
        <v>200.52725668753558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3</v>
      </c>
      <c r="G53" t="s">
        <v>103</v>
      </c>
      <c r="H53" s="111">
        <f>_xlfn.XLOOKUP(E53,$Q$20:$Q$25,$R$20:$R$25,"")</f>
        <v>38.551814171883898</v>
      </c>
      <c r="I53" s="111">
        <f t="shared" si="0"/>
        <v>115.65544251565169</v>
      </c>
      <c r="J53" s="111">
        <f t="shared" si="4"/>
        <v>115.65544251565169</v>
      </c>
      <c r="K53" s="112"/>
      <c r="L53" s="139">
        <f t="shared" si="1"/>
        <v>150.39544251565169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>_xlfn.XLOOKUP(E54,$Q$20:$Q$25,$R$20:$R$25,"")</f>
        <v>38.551814171883898</v>
      </c>
      <c r="I54" s="111">
        <f t="shared" si="0"/>
        <v>192.7590708594195</v>
      </c>
      <c r="J54" s="111">
        <f t="shared" si="4"/>
        <v>192.7590708594195</v>
      </c>
      <c r="K54" s="112"/>
      <c r="L54" s="139">
        <f t="shared" si="1"/>
        <v>250.6590708594195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>_xlfn.XLOOKUP(E55,$Q$20:$Q$25,$R$20:$R$25,"")</f>
        <v>38.551814171883898</v>
      </c>
      <c r="I55" s="111">
        <f t="shared" si="0"/>
        <v>115.65544251565169</v>
      </c>
      <c r="J55" s="111">
        <f t="shared" si="4"/>
        <v>115.65544251565169</v>
      </c>
      <c r="K55" s="112"/>
      <c r="L55" s="139">
        <f t="shared" si="1"/>
        <v>150.39544251565169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3</v>
      </c>
      <c r="G56" t="s">
        <v>103</v>
      </c>
      <c r="H56" s="111">
        <f>_xlfn.XLOOKUP(E56,$Q$20:$Q$25,$R$20:$R$25,"")</f>
        <v>38.551814171883898</v>
      </c>
      <c r="I56" s="111">
        <f t="shared" si="0"/>
        <v>115.65544251565169</v>
      </c>
      <c r="J56" s="111">
        <f t="shared" si="4"/>
        <v>115.65544251565169</v>
      </c>
      <c r="K56" s="112"/>
      <c r="L56" s="139">
        <f t="shared" si="1"/>
        <v>150.39544251565169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2</v>
      </c>
      <c r="G57" t="s">
        <v>103</v>
      </c>
      <c r="H57" s="111">
        <f>_xlfn.XLOOKUP(E57,$Q$20:$Q$25,$R$20:$R$25,"")</f>
        <v>38.551814171883898</v>
      </c>
      <c r="I57" s="111">
        <f t="shared" si="0"/>
        <v>77.103628343767795</v>
      </c>
      <c r="J57" s="111">
        <f t="shared" si="4"/>
        <v>77.103628343767795</v>
      </c>
      <c r="K57" s="112"/>
      <c r="L57" s="139">
        <f t="shared" si="1"/>
        <v>100.26362834376779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>_xlfn.XLOOKUP(E58,$Q$20:$Q$25,$R$20:$R$25,"")</f>
        <v>38.551814171883898</v>
      </c>
      <c r="I58" s="111">
        <f t="shared" si="0"/>
        <v>115.65544251565169</v>
      </c>
      <c r="J58" s="111">
        <f t="shared" si="4"/>
        <v>115.65544251565169</v>
      </c>
      <c r="K58" s="112"/>
      <c r="L58" s="139">
        <f t="shared" si="1"/>
        <v>150.39544251565169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2</v>
      </c>
      <c r="G59" t="s">
        <v>103</v>
      </c>
      <c r="H59" s="111">
        <f>_xlfn.XLOOKUP(E59,$Q$20:$Q$25,$R$20:$R$25,"")</f>
        <v>38.551814171883898</v>
      </c>
      <c r="I59" s="111">
        <f t="shared" si="0"/>
        <v>77.103628343767795</v>
      </c>
      <c r="J59" s="111">
        <f t="shared" si="4"/>
        <v>77.103628343767795</v>
      </c>
      <c r="K59" s="112"/>
      <c r="L59" s="139">
        <f t="shared" si="1"/>
        <v>100.26362834376779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>_xlfn.XLOOKUP(E60,$Q$20:$Q$25,$R$20:$R$25,"")</f>
        <v>43.846666276072185</v>
      </c>
      <c r="I60" s="111">
        <f t="shared" si="0"/>
        <v>87.693332552144369</v>
      </c>
      <c r="J60" s="111">
        <f t="shared" si="4"/>
        <v>87.693332552144369</v>
      </c>
      <c r="K60" s="112"/>
      <c r="L60" s="139">
        <f t="shared" si="1"/>
        <v>110.85333255214437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>_xlfn.XLOOKUP(E61,$Q$20:$Q$25,$R$20:$R$25,"")</f>
        <v/>
      </c>
      <c r="I61" s="111" t="str">
        <f t="shared" si="0"/>
        <v/>
      </c>
      <c r="J61" s="111"/>
      <c r="K61" s="112">
        <f>SUM(J62:J73)</f>
        <v>1382.5443437881208</v>
      </c>
      <c r="L61" s="139" t="str">
        <f t="shared" si="1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>_xlfn.XLOOKUP(E62,$Q$20:$Q$25,$R$20:$R$25,"")</f>
        <v>49.782125344774748</v>
      </c>
      <c r="I62" s="111">
        <f t="shared" si="0"/>
        <v>49.782125344774748</v>
      </c>
      <c r="J62" s="111">
        <f t="shared" ref="J62:J73" si="5">I62</f>
        <v>49.782125344774748</v>
      </c>
      <c r="K62" s="112"/>
      <c r="L62" s="139">
        <f t="shared" si="1"/>
        <v>61.362125344774746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>_xlfn.XLOOKUP(E63,$Q$20:$Q$25,$R$20:$R$25,"")</f>
        <v>49.782125344774748</v>
      </c>
      <c r="I63" s="111">
        <f t="shared" si="0"/>
        <v>49.782125344774748</v>
      </c>
      <c r="J63" s="111">
        <f t="shared" si="5"/>
        <v>49.782125344774748</v>
      </c>
      <c r="K63" s="112"/>
      <c r="L63" s="139">
        <f t="shared" si="1"/>
        <v>61.362125344774746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>_xlfn.XLOOKUP(E64,$Q$20:$Q$25,$R$20:$R$25,"")</f>
        <v>45.220459339114129</v>
      </c>
      <c r="I64" s="111">
        <f t="shared" si="0"/>
        <v>45.220459339114129</v>
      </c>
      <c r="J64" s="111">
        <f t="shared" si="5"/>
        <v>45.220459339114129</v>
      </c>
      <c r="K64" s="112"/>
      <c r="L64" s="139">
        <f t="shared" si="1"/>
        <v>56.800459339114127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>_xlfn.XLOOKUP(E65,$Q$20:$Q$25,$R$20:$R$25,"")</f>
        <v>45.220459339114129</v>
      </c>
      <c r="I65" s="111">
        <f t="shared" si="0"/>
        <v>90.440918678228257</v>
      </c>
      <c r="J65" s="111">
        <f t="shared" si="5"/>
        <v>90.440918678228257</v>
      </c>
      <c r="K65" s="112"/>
      <c r="L65" s="139">
        <f t="shared" si="1"/>
        <v>113.60091867822825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2</v>
      </c>
      <c r="G66" t="s">
        <v>103</v>
      </c>
      <c r="H66" s="111">
        <f>_xlfn.XLOOKUP(E66,$Q$20:$Q$25,$R$20:$R$25,"")</f>
        <v>49.782125344774748</v>
      </c>
      <c r="I66" s="111">
        <f t="shared" si="0"/>
        <v>99.564250689549496</v>
      </c>
      <c r="J66" s="111">
        <f t="shared" si="5"/>
        <v>99.564250689549496</v>
      </c>
      <c r="K66" s="112"/>
      <c r="L66" s="139">
        <f t="shared" si="1"/>
        <v>122.72425068954949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3</v>
      </c>
      <c r="G67" t="s">
        <v>103</v>
      </c>
      <c r="H67" s="111">
        <f>_xlfn.XLOOKUP(E67,$Q$20:$Q$25,$R$20:$R$25,"")</f>
        <v>42.159269173306768</v>
      </c>
      <c r="I67" s="111">
        <f t="shared" si="0"/>
        <v>126.4778075199203</v>
      </c>
      <c r="J67" s="111">
        <f t="shared" si="5"/>
        <v>126.4778075199203</v>
      </c>
      <c r="K67" s="112"/>
      <c r="L67" s="139">
        <f t="shared" si="1"/>
        <v>161.21780751992031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5</v>
      </c>
      <c r="G68" t="s">
        <v>103</v>
      </c>
      <c r="H68" s="111">
        <f>_xlfn.XLOOKUP(E68,$Q$20:$Q$25,$R$20:$R$25,"")</f>
        <v>49.154057104913683</v>
      </c>
      <c r="I68" s="111">
        <f t="shared" ref="I68:I73" si="6">IFERROR(H68*F68,"")</f>
        <v>245.77028552456841</v>
      </c>
      <c r="J68" s="111">
        <f t="shared" si="5"/>
        <v>245.77028552456841</v>
      </c>
      <c r="K68" s="112"/>
      <c r="L68" s="139">
        <f t="shared" ref="L68:L73" si="7">IFERROR(I68+($P$10*F68),"")</f>
        <v>303.67028552456838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5</v>
      </c>
      <c r="G69" t="s">
        <v>103</v>
      </c>
      <c r="H69" s="111">
        <f>_xlfn.XLOOKUP(E69,$Q$20:$Q$25,$R$20:$R$25,"")</f>
        <v>43.846666276072185</v>
      </c>
      <c r="I69" s="111">
        <f t="shared" si="6"/>
        <v>219.23333138036094</v>
      </c>
      <c r="J69" s="111">
        <f t="shared" si="5"/>
        <v>219.23333138036094</v>
      </c>
      <c r="K69" s="112"/>
      <c r="L69" s="139">
        <f t="shared" si="7"/>
        <v>277.13333138036091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>_xlfn.XLOOKUP(E70,$Q$20:$Q$25,$R$20:$R$25,"")</f>
        <v>43.846666276072185</v>
      </c>
      <c r="I70" s="111">
        <f t="shared" si="6"/>
        <v>87.693332552144369</v>
      </c>
      <c r="J70" s="111">
        <f t="shared" si="5"/>
        <v>87.693332552144369</v>
      </c>
      <c r="K70" s="112"/>
      <c r="L70" s="139">
        <f t="shared" si="7"/>
        <v>110.85333255214437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>_xlfn.XLOOKUP(E71,$Q$20:$Q$25,$R$20:$R$25,"")</f>
        <v>43.846666276072185</v>
      </c>
      <c r="I71" s="111">
        <f t="shared" si="6"/>
        <v>219.23333138036094</v>
      </c>
      <c r="J71" s="111">
        <f t="shared" si="5"/>
        <v>219.23333138036094</v>
      </c>
      <c r="K71" s="112"/>
      <c r="L71" s="139">
        <f t="shared" si="7"/>
        <v>277.13333138036091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2</v>
      </c>
      <c r="G72" t="s">
        <v>103</v>
      </c>
      <c r="H72" s="111">
        <f>_xlfn.XLOOKUP(E72,$Q$20:$Q$25,$R$20:$R$25,"")</f>
        <v>49.782125344774748</v>
      </c>
      <c r="I72" s="111">
        <f t="shared" si="6"/>
        <v>99.564250689549496</v>
      </c>
      <c r="J72" s="111">
        <f t="shared" si="5"/>
        <v>99.564250689549496</v>
      </c>
      <c r="K72" s="112"/>
      <c r="L72" s="139">
        <f t="shared" si="7"/>
        <v>122.72425068954949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>_xlfn.XLOOKUP(E73,$Q$20:$Q$25,$R$20:$R$25,"")</f>
        <v>49.782125344774748</v>
      </c>
      <c r="I73" s="111">
        <f t="shared" si="6"/>
        <v>49.782125344774748</v>
      </c>
      <c r="J73" s="111">
        <f t="shared" si="5"/>
        <v>49.782125344774748</v>
      </c>
      <c r="K73" s="113"/>
      <c r="L73" s="139">
        <f t="shared" si="7"/>
        <v>61.362125344774746</v>
      </c>
    </row>
    <row r="74" spans="1:12" x14ac:dyDescent="0.3">
      <c r="A74" s="119" t="s">
        <v>4</v>
      </c>
      <c r="B74" s="120"/>
      <c r="C74" s="120"/>
      <c r="D74" s="120"/>
      <c r="E74" s="120"/>
      <c r="F74" s="120"/>
      <c r="G74" s="120"/>
      <c r="H74" s="120"/>
      <c r="I74" s="120"/>
      <c r="J74" s="120"/>
      <c r="K74" s="114">
        <f>SUM(K3:K73)</f>
        <v>13026.517352669423</v>
      </c>
      <c r="L74" s="135">
        <f>SUM(L3:L73)</f>
        <v>16500.51735266942</v>
      </c>
    </row>
    <row r="75" spans="1:12" x14ac:dyDescent="0.3">
      <c r="K75" s="2"/>
      <c r="L75" s="2"/>
    </row>
    <row r="76" spans="1:12" ht="15" thickBot="1" x14ac:dyDescent="0.35">
      <c r="A76" s="121" t="s">
        <v>192</v>
      </c>
      <c r="B76" s="122"/>
      <c r="C76" s="122"/>
      <c r="D76" s="122"/>
      <c r="E76" s="122"/>
      <c r="F76" s="122"/>
      <c r="G76" s="122"/>
      <c r="H76" s="122"/>
      <c r="I76" s="122"/>
      <c r="J76" s="122"/>
      <c r="K76" s="123"/>
      <c r="L76" s="138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37"/>
    </row>
    <row r="78" spans="1:12" x14ac:dyDescent="0.3">
      <c r="A78" s="5" t="s">
        <v>6</v>
      </c>
      <c r="B78" s="124"/>
      <c r="C78" s="124"/>
      <c r="D78" s="125" t="s">
        <v>197</v>
      </c>
      <c r="E78" s="125"/>
      <c r="F78" s="125"/>
      <c r="G78" s="125"/>
      <c r="H78" s="127"/>
      <c r="I78" s="127"/>
      <c r="J78" s="127">
        <f>SUM(I79:I80)</f>
        <v>172.5</v>
      </c>
      <c r="K78" s="128">
        <f>J78</f>
        <v>172.5</v>
      </c>
      <c r="L78" s="127"/>
    </row>
    <row r="79" spans="1:12" x14ac:dyDescent="0.3">
      <c r="A79" s="5"/>
      <c r="B79" s="124" t="s">
        <v>7</v>
      </c>
      <c r="C79" s="124"/>
      <c r="D79" s="125" t="s">
        <v>198</v>
      </c>
      <c r="E79" s="125" t="s">
        <v>200</v>
      </c>
      <c r="F79" s="125">
        <v>150</v>
      </c>
      <c r="G79" s="126" t="s">
        <v>201</v>
      </c>
      <c r="H79" s="127">
        <v>0.35</v>
      </c>
      <c r="I79" s="127">
        <f>H79*F79</f>
        <v>52.5</v>
      </c>
      <c r="J79" s="127"/>
      <c r="K79" s="128"/>
      <c r="L79" s="127"/>
    </row>
    <row r="80" spans="1:12" x14ac:dyDescent="0.3">
      <c r="A80" s="5"/>
      <c r="B80" s="124" t="s">
        <v>13</v>
      </c>
      <c r="C80" s="124"/>
      <c r="D80" s="125" t="s">
        <v>199</v>
      </c>
      <c r="E80" s="125" t="s">
        <v>200</v>
      </c>
      <c r="F80" s="125">
        <v>6</v>
      </c>
      <c r="G80" s="126" t="s">
        <v>202</v>
      </c>
      <c r="H80" s="127">
        <v>20</v>
      </c>
      <c r="I80" s="127">
        <f>H80*F80</f>
        <v>120</v>
      </c>
      <c r="J80" s="127"/>
      <c r="K80" s="128"/>
      <c r="L80" s="127"/>
    </row>
    <row r="81" spans="1:12" x14ac:dyDescent="0.3">
      <c r="A81" s="119" t="s">
        <v>4</v>
      </c>
      <c r="B81" s="120"/>
      <c r="C81" s="120"/>
      <c r="D81" s="120"/>
      <c r="E81" s="120"/>
      <c r="F81" s="120"/>
      <c r="G81" s="120"/>
      <c r="H81" s="120"/>
      <c r="I81" s="120"/>
      <c r="J81" s="120"/>
      <c r="K81" s="114">
        <f>SUM(K78:K80)</f>
        <v>172.5</v>
      </c>
      <c r="L81" s="135"/>
    </row>
    <row r="82" spans="1:12" x14ac:dyDescent="0.3">
      <c r="A82" s="6"/>
      <c r="B82" s="6"/>
      <c r="C82" s="6"/>
    </row>
  </sheetData>
  <mergeCells count="6">
    <mergeCell ref="A1:K1"/>
    <mergeCell ref="A74:J74"/>
    <mergeCell ref="A76:K76"/>
    <mergeCell ref="A81:J81"/>
    <mergeCell ref="N1:P1"/>
    <mergeCell ref="N6:O6"/>
  </mergeCells>
  <phoneticPr fontId="4" type="noConversion"/>
  <dataValidations count="1">
    <dataValidation type="list" allowBlank="1" showInputMessage="1" showErrorMessage="1" sqref="E3:E73" xr:uid="{2FF9A132-8776-4FE0-B050-ADA1CD0962E0}">
      <formula1>$Q$20:$Q$25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99F06-5152-4136-849C-8D726824663D}">
  <dimension ref="A1:K56"/>
  <sheetViews>
    <sheetView tabSelected="1" workbookViewId="0">
      <selection activeCell="D53" sqref="D53"/>
    </sheetView>
  </sheetViews>
  <sheetFormatPr defaultRowHeight="14.4" x14ac:dyDescent="0.3"/>
  <cols>
    <col min="1" max="1" width="3" bestFit="1" customWidth="1"/>
    <col min="2" max="2" width="4" bestFit="1" customWidth="1"/>
    <col min="3" max="3" width="37.109375" bestFit="1" customWidth="1"/>
    <col min="4" max="4" width="23.77734375" bestFit="1" customWidth="1"/>
    <col min="5" max="5" width="10.44140625" bestFit="1" customWidth="1"/>
    <col min="7" max="7" width="8.88671875" bestFit="1" customWidth="1"/>
    <col min="8" max="8" width="33" bestFit="1" customWidth="1"/>
    <col min="9" max="9" width="11.77734375" bestFit="1" customWidth="1"/>
    <col min="10" max="10" width="21.6640625" bestFit="1" customWidth="1"/>
    <col min="11" max="11" width="23.77734375" bestFit="1" customWidth="1"/>
  </cols>
  <sheetData>
    <row r="1" spans="1:11" ht="15" thickBot="1" x14ac:dyDescent="0.35">
      <c r="A1" s="116" t="s">
        <v>210</v>
      </c>
      <c r="B1" s="117"/>
      <c r="C1" s="117"/>
      <c r="D1" s="117"/>
      <c r="E1" s="118"/>
      <c r="G1" s="119" t="s">
        <v>209</v>
      </c>
      <c r="H1" s="120"/>
      <c r="I1" s="132"/>
    </row>
    <row r="2" spans="1:11" x14ac:dyDescent="0.3">
      <c r="A2" s="12" t="s">
        <v>0</v>
      </c>
      <c r="B2" s="13" t="s">
        <v>1</v>
      </c>
      <c r="C2" s="13" t="s">
        <v>15</v>
      </c>
      <c r="D2" s="13" t="s">
        <v>212</v>
      </c>
      <c r="E2" s="14" t="s">
        <v>4</v>
      </c>
      <c r="G2" s="130" t="s">
        <v>205</v>
      </c>
      <c r="H2" s="129" t="s">
        <v>204</v>
      </c>
      <c r="I2" s="131" t="s">
        <v>4</v>
      </c>
    </row>
    <row r="3" spans="1:11" x14ac:dyDescent="0.3">
      <c r="A3" s="5" t="s">
        <v>6</v>
      </c>
      <c r="B3" s="6"/>
      <c r="C3" s="7" t="s">
        <v>20</v>
      </c>
      <c r="D3" s="136"/>
      <c r="E3" s="115">
        <f>SUM(D4:D6)</f>
        <v>1840.8637603432428</v>
      </c>
      <c r="G3" s="5" t="s">
        <v>6</v>
      </c>
      <c r="H3" s="125" t="s">
        <v>206</v>
      </c>
      <c r="I3" s="133">
        <f>E54</f>
        <v>16500.517352669427</v>
      </c>
    </row>
    <row r="4" spans="1:11" x14ac:dyDescent="0.3">
      <c r="A4" s="5"/>
      <c r="B4" s="6" t="s">
        <v>7</v>
      </c>
      <c r="C4" s="1" t="s">
        <v>21</v>
      </c>
      <c r="D4" s="136">
        <f>Costs_init!L4</f>
        <v>122.72425068954949</v>
      </c>
      <c r="E4" s="112"/>
      <c r="G4" s="119" t="s">
        <v>115</v>
      </c>
      <c r="H4" s="120"/>
      <c r="I4" s="134">
        <f>SUM(I3)</f>
        <v>16500.517352669427</v>
      </c>
    </row>
    <row r="5" spans="1:11" x14ac:dyDescent="0.3">
      <c r="A5" s="5"/>
      <c r="B5" s="6" t="s">
        <v>13</v>
      </c>
      <c r="C5" s="1" t="s">
        <v>22</v>
      </c>
      <c r="D5" s="136">
        <f>Costs_init!L5</f>
        <v>122.72425068954949</v>
      </c>
      <c r="E5" s="112"/>
      <c r="G5" s="124"/>
      <c r="H5" s="125"/>
      <c r="I5" s="135"/>
    </row>
    <row r="6" spans="1:11" x14ac:dyDescent="0.3">
      <c r="A6" s="5"/>
      <c r="B6" s="6" t="s">
        <v>14</v>
      </c>
      <c r="C6" s="1" t="s">
        <v>23</v>
      </c>
      <c r="D6" s="136">
        <f>SUM(Costs_init!L7:L19)</f>
        <v>1595.4152589641437</v>
      </c>
      <c r="E6" s="112"/>
    </row>
    <row r="7" spans="1:11" x14ac:dyDescent="0.3">
      <c r="A7" s="5" t="s">
        <v>8</v>
      </c>
      <c r="B7" s="6"/>
      <c r="C7" s="7" t="s">
        <v>37</v>
      </c>
      <c r="D7" s="136"/>
      <c r="E7" s="112">
        <f>SUM(D8:D17)</f>
        <v>2932.5324370166391</v>
      </c>
      <c r="K7" s="110"/>
    </row>
    <row r="8" spans="1:11" x14ac:dyDescent="0.3">
      <c r="A8" s="5"/>
      <c r="B8" s="6" t="s">
        <v>7</v>
      </c>
      <c r="C8" s="1" t="s">
        <v>38</v>
      </c>
      <c r="D8" s="136">
        <f>Costs_init!L21</f>
        <v>53.739269173306766</v>
      </c>
      <c r="E8" s="112"/>
      <c r="K8" s="110"/>
    </row>
    <row r="9" spans="1:11" x14ac:dyDescent="0.3">
      <c r="A9" s="5"/>
      <c r="B9" s="6" t="s">
        <v>13</v>
      </c>
      <c r="C9" s="1" t="s">
        <v>39</v>
      </c>
      <c r="D9" s="136">
        <f>Costs_init!L22</f>
        <v>227.20183735645651</v>
      </c>
      <c r="E9" s="112"/>
      <c r="K9" s="110"/>
    </row>
    <row r="10" spans="1:11" x14ac:dyDescent="0.3">
      <c r="A10" s="5"/>
      <c r="B10" s="6" t="s">
        <v>14</v>
      </c>
      <c r="C10" s="1" t="s">
        <v>40</v>
      </c>
      <c r="D10" s="136">
        <f>Costs_init!L23</f>
        <v>107.47853834661353</v>
      </c>
      <c r="E10" s="112"/>
      <c r="K10" s="110"/>
    </row>
    <row r="11" spans="1:11" x14ac:dyDescent="0.3">
      <c r="A11" s="5"/>
      <c r="B11" s="6" t="s">
        <v>94</v>
      </c>
      <c r="C11" s="1" t="s">
        <v>41</v>
      </c>
      <c r="D11" s="136">
        <f>Costs_init!L24</f>
        <v>53.739269173306766</v>
      </c>
      <c r="E11" s="112"/>
      <c r="K11" s="110"/>
    </row>
    <row r="12" spans="1:11" x14ac:dyDescent="0.3">
      <c r="A12" s="5"/>
      <c r="B12" s="6" t="s">
        <v>95</v>
      </c>
      <c r="C12" s="1" t="s">
        <v>42</v>
      </c>
      <c r="D12" s="136">
        <f>Costs_init!L25</f>
        <v>107.47853834661353</v>
      </c>
      <c r="E12" s="112"/>
      <c r="K12" s="110"/>
    </row>
    <row r="13" spans="1:11" x14ac:dyDescent="0.3">
      <c r="A13" s="5"/>
      <c r="B13" s="6" t="s">
        <v>96</v>
      </c>
      <c r="C13" s="1" t="s">
        <v>43</v>
      </c>
      <c r="D13" s="136">
        <f>Costs_init!L26</f>
        <v>340.80275603468476</v>
      </c>
      <c r="E13" s="112"/>
    </row>
    <row r="14" spans="1:11" x14ac:dyDescent="0.3">
      <c r="A14" s="5"/>
      <c r="B14" s="6" t="s">
        <v>97</v>
      </c>
      <c r="C14" s="1" t="s">
        <v>44</v>
      </c>
      <c r="D14" s="136">
        <f>Costs_init!L27</f>
        <v>1182.2639218127488</v>
      </c>
      <c r="E14" s="112"/>
    </row>
    <row r="15" spans="1:11" x14ac:dyDescent="0.3">
      <c r="A15" s="5"/>
      <c r="B15" s="6" t="s">
        <v>98</v>
      </c>
      <c r="C15" s="1" t="s">
        <v>45</v>
      </c>
      <c r="D15" s="136">
        <f>Costs_init!L28</f>
        <v>322.43561503984063</v>
      </c>
      <c r="E15" s="112"/>
    </row>
    <row r="16" spans="1:11" x14ac:dyDescent="0.3">
      <c r="A16" s="5"/>
      <c r="B16" s="6" t="s">
        <v>99</v>
      </c>
      <c r="C16" s="1" t="s">
        <v>46</v>
      </c>
      <c r="D16" s="136">
        <f>Costs_init!L29</f>
        <v>107.47853834661353</v>
      </c>
      <c r="E16" s="112"/>
    </row>
    <row r="17" spans="1:5" x14ac:dyDescent="0.3">
      <c r="A17" s="5"/>
      <c r="B17" s="6" t="s">
        <v>100</v>
      </c>
      <c r="C17" s="1" t="s">
        <v>47</v>
      </c>
      <c r="D17" s="136">
        <f>Costs_init!L30</f>
        <v>429.91415338645413</v>
      </c>
      <c r="E17" s="112"/>
    </row>
    <row r="18" spans="1:5" x14ac:dyDescent="0.3">
      <c r="A18" s="5" t="s">
        <v>9</v>
      </c>
      <c r="B18" s="6"/>
      <c r="C18" s="7" t="s">
        <v>48</v>
      </c>
      <c r="D18" s="136" t="str">
        <f>Costs_init!L31</f>
        <v/>
      </c>
      <c r="E18" s="112">
        <f>SUM(D19:D25)</f>
        <v>2863.9493320555316</v>
      </c>
    </row>
    <row r="19" spans="1:5" x14ac:dyDescent="0.3">
      <c r="A19" s="5"/>
      <c r="B19" s="6" t="s">
        <v>7</v>
      </c>
      <c r="C19" s="1" t="s">
        <v>49</v>
      </c>
      <c r="D19" s="136">
        <f>Costs_init!L32</f>
        <v>607.34057104913677</v>
      </c>
      <c r="E19" s="112"/>
    </row>
    <row r="20" spans="1:5" x14ac:dyDescent="0.3">
      <c r="A20" s="5"/>
      <c r="B20" s="6" t="s">
        <v>13</v>
      </c>
      <c r="C20" s="1" t="s">
        <v>50</v>
      </c>
      <c r="D20" s="136">
        <f>Costs_init!L33</f>
        <v>150.39544251565169</v>
      </c>
      <c r="E20" s="112"/>
    </row>
    <row r="21" spans="1:5" x14ac:dyDescent="0.3">
      <c r="A21" s="5"/>
      <c r="B21" s="6" t="s">
        <v>14</v>
      </c>
      <c r="C21" s="1" t="s">
        <v>51</v>
      </c>
      <c r="D21" s="136">
        <f>Costs_init!L34</f>
        <v>443.41333020857746</v>
      </c>
      <c r="E21" s="112"/>
    </row>
    <row r="22" spans="1:5" x14ac:dyDescent="0.3">
      <c r="A22" s="5"/>
      <c r="B22" s="6" t="s">
        <v>94</v>
      </c>
      <c r="C22" s="1" t="s">
        <v>52</v>
      </c>
      <c r="D22" s="136">
        <f>Costs_init!L35</f>
        <v>221.70666510428873</v>
      </c>
      <c r="E22" s="112"/>
    </row>
    <row r="23" spans="1:5" x14ac:dyDescent="0.3">
      <c r="A23" s="5"/>
      <c r="B23" s="6" t="s">
        <v>95</v>
      </c>
      <c r="C23" s="1" t="s">
        <v>53</v>
      </c>
      <c r="D23" s="136">
        <f>Costs_init!L36</f>
        <v>332.5599976564331</v>
      </c>
      <c r="E23" s="112"/>
    </row>
    <row r="24" spans="1:5" x14ac:dyDescent="0.3">
      <c r="A24" s="5"/>
      <c r="B24" s="6" t="s">
        <v>96</v>
      </c>
      <c r="C24" s="1" t="s">
        <v>54</v>
      </c>
      <c r="D24" s="136">
        <f>Costs_init!L37</f>
        <v>554.26666276072183</v>
      </c>
      <c r="E24" s="112"/>
    </row>
    <row r="25" spans="1:5" x14ac:dyDescent="0.3">
      <c r="A25" s="5"/>
      <c r="B25" s="6" t="s">
        <v>97</v>
      </c>
      <c r="C25" s="1" t="s">
        <v>194</v>
      </c>
      <c r="D25" s="136">
        <f>Costs_init!L38</f>
        <v>554.26666276072183</v>
      </c>
      <c r="E25" s="112"/>
    </row>
    <row r="26" spans="1:5" x14ac:dyDescent="0.3">
      <c r="A26" s="5" t="s">
        <v>10</v>
      </c>
      <c r="B26" s="6"/>
      <c r="C26" s="7" t="s">
        <v>55</v>
      </c>
      <c r="D26" s="136">
        <f>Costs_init!L39</f>
        <v>166.27999882821655</v>
      </c>
      <c r="E26" s="111">
        <f>D26</f>
        <v>166.27999882821655</v>
      </c>
    </row>
    <row r="27" spans="1:5" x14ac:dyDescent="0.3">
      <c r="A27" s="5" t="s">
        <v>11</v>
      </c>
      <c r="B27" s="6"/>
      <c r="C27" s="7" t="s">
        <v>56</v>
      </c>
      <c r="D27" s="136" t="str">
        <f>Costs_init!L40</f>
        <v/>
      </c>
      <c r="E27" s="112">
        <f>SUM(D28:D30)</f>
        <v>5602.7987937884327</v>
      </c>
    </row>
    <row r="28" spans="1:5" x14ac:dyDescent="0.3">
      <c r="A28" s="5"/>
      <c r="B28" s="6" t="s">
        <v>7</v>
      </c>
      <c r="C28" s="1" t="s">
        <v>57</v>
      </c>
      <c r="D28" s="136">
        <f>Costs_init!L41</f>
        <v>242.93622841965473</v>
      </c>
      <c r="E28" s="112"/>
    </row>
    <row r="29" spans="1:5" x14ac:dyDescent="0.3">
      <c r="A29" s="5"/>
      <c r="B29" s="6" t="s">
        <v>13</v>
      </c>
      <c r="C29" s="1" t="s">
        <v>58</v>
      </c>
      <c r="D29" s="136">
        <f>Costs_init!L42</f>
        <v>182.20217131474107</v>
      </c>
      <c r="E29" s="112"/>
    </row>
    <row r="30" spans="1:5" x14ac:dyDescent="0.3">
      <c r="A30" s="5"/>
      <c r="B30" s="6" t="s">
        <v>14</v>
      </c>
      <c r="C30" s="1" t="s">
        <v>59</v>
      </c>
      <c r="D30" s="136">
        <f>SUM(Costs_init!L44:L50)</f>
        <v>5177.6603940540372</v>
      </c>
      <c r="E30" s="112"/>
    </row>
    <row r="31" spans="1:5" x14ac:dyDescent="0.3">
      <c r="A31" s="5" t="s">
        <v>12</v>
      </c>
      <c r="B31" s="6"/>
      <c r="C31" s="7" t="s">
        <v>66</v>
      </c>
      <c r="D31" s="136"/>
      <c r="E31" s="112">
        <f>SUM(D32:D40)</f>
        <v>1364.1486868492418</v>
      </c>
    </row>
    <row r="32" spans="1:5" x14ac:dyDescent="0.3">
      <c r="A32" s="5"/>
      <c r="B32" s="6" t="s">
        <v>7</v>
      </c>
      <c r="C32" s="1" t="s">
        <v>67</v>
      </c>
      <c r="D32" s="136">
        <f>Costs_init!L52</f>
        <v>200.52725668753558</v>
      </c>
      <c r="E32" s="112"/>
    </row>
    <row r="33" spans="1:5" x14ac:dyDescent="0.3">
      <c r="A33" s="5"/>
      <c r="B33" s="6" t="s">
        <v>13</v>
      </c>
      <c r="C33" s="1" t="s">
        <v>68</v>
      </c>
      <c r="D33" s="136">
        <f>Costs_init!L53</f>
        <v>150.39544251565169</v>
      </c>
      <c r="E33" s="112"/>
    </row>
    <row r="34" spans="1:5" x14ac:dyDescent="0.3">
      <c r="A34" s="5"/>
      <c r="B34" s="6" t="s">
        <v>14</v>
      </c>
      <c r="C34" s="1" t="s">
        <v>69</v>
      </c>
      <c r="D34" s="136">
        <f>Costs_init!L54</f>
        <v>250.6590708594195</v>
      </c>
      <c r="E34" s="112"/>
    </row>
    <row r="35" spans="1:5" x14ac:dyDescent="0.3">
      <c r="A35" s="5"/>
      <c r="B35" s="6" t="s">
        <v>94</v>
      </c>
      <c r="C35" s="1" t="s">
        <v>70</v>
      </c>
      <c r="D35" s="136">
        <f>Costs_init!L55</f>
        <v>150.39544251565169</v>
      </c>
      <c r="E35" s="112"/>
    </row>
    <row r="36" spans="1:5" x14ac:dyDescent="0.3">
      <c r="A36" s="5"/>
      <c r="B36" s="6" t="s">
        <v>95</v>
      </c>
      <c r="C36" s="1" t="s">
        <v>196</v>
      </c>
      <c r="D36" s="136">
        <f>Costs_init!L56</f>
        <v>150.39544251565169</v>
      </c>
      <c r="E36" s="112"/>
    </row>
    <row r="37" spans="1:5" x14ac:dyDescent="0.3">
      <c r="A37" s="5"/>
      <c r="B37" s="6" t="s">
        <v>96</v>
      </c>
      <c r="C37" s="1" t="s">
        <v>71</v>
      </c>
      <c r="D37" s="136">
        <f>Costs_init!L57</f>
        <v>100.26362834376779</v>
      </c>
      <c r="E37" s="112"/>
    </row>
    <row r="38" spans="1:5" x14ac:dyDescent="0.3">
      <c r="A38" s="5"/>
      <c r="B38" s="6" t="s">
        <v>97</v>
      </c>
      <c r="C38" s="1" t="s">
        <v>72</v>
      </c>
      <c r="D38" s="136">
        <f>Costs_init!L58</f>
        <v>150.39544251565169</v>
      </c>
      <c r="E38" s="112"/>
    </row>
    <row r="39" spans="1:5" x14ac:dyDescent="0.3">
      <c r="A39" s="5"/>
      <c r="B39" s="6" t="s">
        <v>98</v>
      </c>
      <c r="C39" s="1" t="s">
        <v>193</v>
      </c>
      <c r="D39" s="136">
        <f>Costs_init!L59</f>
        <v>100.26362834376779</v>
      </c>
      <c r="E39" s="112"/>
    </row>
    <row r="40" spans="1:5" x14ac:dyDescent="0.3">
      <c r="A40" s="5"/>
      <c r="B40" s="6" t="s">
        <v>99</v>
      </c>
      <c r="C40" s="1" t="s">
        <v>73</v>
      </c>
      <c r="D40" s="136">
        <f>Costs_init!L60</f>
        <v>110.85333255214437</v>
      </c>
      <c r="E40" s="112"/>
    </row>
    <row r="41" spans="1:5" x14ac:dyDescent="0.3">
      <c r="A41" s="5" t="s">
        <v>87</v>
      </c>
      <c r="B41" s="6"/>
      <c r="C41" s="7" t="s">
        <v>74</v>
      </c>
      <c r="D41" s="136" t="str">
        <f>Costs_init!L61</f>
        <v/>
      </c>
      <c r="E41" s="112">
        <f>SUM(D42:D53)</f>
        <v>1729.9443437881205</v>
      </c>
    </row>
    <row r="42" spans="1:5" ht="28.8" x14ac:dyDescent="0.3">
      <c r="A42" s="5"/>
      <c r="B42" s="6" t="s">
        <v>7</v>
      </c>
      <c r="C42" s="1" t="s">
        <v>75</v>
      </c>
      <c r="D42" s="136">
        <f>Costs_init!L62</f>
        <v>61.362125344774746</v>
      </c>
      <c r="E42" s="112"/>
    </row>
    <row r="43" spans="1:5" x14ac:dyDescent="0.3">
      <c r="A43" s="5"/>
      <c r="B43" s="6" t="s">
        <v>13</v>
      </c>
      <c r="C43" s="1" t="s">
        <v>76</v>
      </c>
      <c r="D43" s="136">
        <f>Costs_init!L63</f>
        <v>61.362125344774746</v>
      </c>
      <c r="E43" s="112"/>
    </row>
    <row r="44" spans="1:5" x14ac:dyDescent="0.3">
      <c r="A44" s="5"/>
      <c r="B44" s="6" t="s">
        <v>14</v>
      </c>
      <c r="C44" s="1" t="s">
        <v>77</v>
      </c>
      <c r="D44" s="136">
        <f>Costs_init!L64</f>
        <v>56.800459339114127</v>
      </c>
      <c r="E44" s="112"/>
    </row>
    <row r="45" spans="1:5" ht="28.8" x14ac:dyDescent="0.3">
      <c r="A45" s="5"/>
      <c r="B45" s="6" t="s">
        <v>94</v>
      </c>
      <c r="C45" s="1" t="s">
        <v>78</v>
      </c>
      <c r="D45" s="136">
        <f>Costs_init!L65</f>
        <v>113.60091867822825</v>
      </c>
      <c r="E45" s="112"/>
    </row>
    <row r="46" spans="1:5" ht="28.8" x14ac:dyDescent="0.3">
      <c r="A46" s="5"/>
      <c r="B46" s="6" t="s">
        <v>95</v>
      </c>
      <c r="C46" s="1" t="s">
        <v>79</v>
      </c>
      <c r="D46" s="136">
        <f>Costs_init!L66</f>
        <v>122.72425068954949</v>
      </c>
      <c r="E46" s="112"/>
    </row>
    <row r="47" spans="1:5" x14ac:dyDescent="0.3">
      <c r="A47" s="5"/>
      <c r="B47" s="6" t="s">
        <v>96</v>
      </c>
      <c r="C47" s="1" t="s">
        <v>80</v>
      </c>
      <c r="D47" s="136">
        <f>Costs_init!L67</f>
        <v>161.21780751992031</v>
      </c>
      <c r="E47" s="112"/>
    </row>
    <row r="48" spans="1:5" x14ac:dyDescent="0.3">
      <c r="A48" s="5"/>
      <c r="B48" s="6" t="s">
        <v>97</v>
      </c>
      <c r="C48" s="1" t="s">
        <v>81</v>
      </c>
      <c r="D48" s="136">
        <f>Costs_init!L68</f>
        <v>303.67028552456838</v>
      </c>
      <c r="E48" s="112"/>
    </row>
    <row r="49" spans="1:5" x14ac:dyDescent="0.3">
      <c r="A49" s="5"/>
      <c r="B49" s="6" t="s">
        <v>98</v>
      </c>
      <c r="C49" s="1" t="s">
        <v>82</v>
      </c>
      <c r="D49" s="136">
        <f>Costs_init!L69</f>
        <v>277.13333138036091</v>
      </c>
      <c r="E49" s="112"/>
    </row>
    <row r="50" spans="1:5" x14ac:dyDescent="0.3">
      <c r="A50" s="5"/>
      <c r="B50" s="6" t="s">
        <v>99</v>
      </c>
      <c r="C50" s="1" t="s">
        <v>83</v>
      </c>
      <c r="D50" s="136">
        <f>Costs_init!L70</f>
        <v>110.85333255214437</v>
      </c>
      <c r="E50" s="112"/>
    </row>
    <row r="51" spans="1:5" x14ac:dyDescent="0.3">
      <c r="A51" s="5"/>
      <c r="B51" s="6" t="s">
        <v>100</v>
      </c>
      <c r="C51" s="1" t="s">
        <v>84</v>
      </c>
      <c r="D51" s="136">
        <f>Costs_init!L71</f>
        <v>277.13333138036091</v>
      </c>
      <c r="E51" s="112"/>
    </row>
    <row r="52" spans="1:5" x14ac:dyDescent="0.3">
      <c r="A52" s="5"/>
      <c r="B52" s="6" t="s">
        <v>101</v>
      </c>
      <c r="C52" s="1" t="s">
        <v>85</v>
      </c>
      <c r="D52" s="136">
        <f>Costs_init!L72</f>
        <v>122.72425068954949</v>
      </c>
      <c r="E52" s="112"/>
    </row>
    <row r="53" spans="1:5" x14ac:dyDescent="0.3">
      <c r="A53" s="8"/>
      <c r="B53" s="9" t="s">
        <v>102</v>
      </c>
      <c r="C53" s="10" t="s">
        <v>86</v>
      </c>
      <c r="D53" s="136">
        <f>Costs_init!L73</f>
        <v>61.362125344774746</v>
      </c>
      <c r="E53" s="113"/>
    </row>
    <row r="54" spans="1:5" x14ac:dyDescent="0.3">
      <c r="A54" s="119" t="s">
        <v>4</v>
      </c>
      <c r="B54" s="120"/>
      <c r="C54" s="120"/>
      <c r="D54" s="120"/>
      <c r="E54" s="114">
        <f>SUM(E3:E53)</f>
        <v>16500.517352669427</v>
      </c>
    </row>
    <row r="55" spans="1:5" x14ac:dyDescent="0.3">
      <c r="E55" s="2"/>
    </row>
    <row r="56" spans="1:5" x14ac:dyDescent="0.3">
      <c r="A56" s="6"/>
      <c r="B56" s="6"/>
    </row>
  </sheetData>
  <mergeCells count="4">
    <mergeCell ref="G1:I1"/>
    <mergeCell ref="G4:H4"/>
    <mergeCell ref="A54:D54"/>
    <mergeCell ref="A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definition</vt:lpstr>
      <vt:lpstr>Costs_init</vt:lpstr>
      <vt:lpstr>Client_init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2026-06-16T21:13:01Z</dcterms:modified>
</cp:coreProperties>
</file>